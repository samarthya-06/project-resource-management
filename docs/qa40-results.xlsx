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2686856614416" /></Relationships>
</file>

<file path=xl/workbook.xml><?xml version="1.0" encoding="utf-8"?>
<x:workbook xmlns:x="http://schemas.openxmlformats.org/spreadsheetml/2006/main">
  <x:sheets>
    <x:sheet xmlns:r="http://schemas.openxmlformats.org/officeDocument/2006/relationships" name="Results" sheetId="1" r:id="R2508f98eacaa4a09"/>
    <x:sheet xmlns:r="http://schemas.openxmlformats.org/officeDocument/2006/relationships" name="Case details" sheetId="2" r:id="R1416152d63894d0e"/>
    <x:sheet xmlns:r="http://schemas.openxmlformats.org/officeDocument/2006/relationships" name="SQL comparison" sheetId="3" r:id="R8d70959d0633428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9">
    <x:font>
      <x:sz val="11"/>
      <x:name val="Carlito"/>
    </x:font>
    <x:font>
      <x:sz val="11"/>
      <x:color rgb="FF202124"/>
      <x:name val="Arial"/>
    </x:font>
    <x:font>
      <x:b/>
      <x:sz val="16"/>
      <x:color rgb="FF202124"/>
      <x:name val="Arial"/>
    </x:font>
    <x:font>
      <x:sz val="10"/>
      <x:color rgb="FF5F6368"/>
      <x:name val="Arial"/>
    </x:font>
    <x:font>
      <x:i/>
      <x:sz val="10"/>
      <x:color rgb="FF202124"/>
      <x:name val="Arial"/>
    </x:font>
    <x:font>
      <x:b/>
      <x:sz val="11"/>
      <x:color rgb="FFFFFFFF"/>
      <x:name val="Arial"/>
    </x:font>
    <x:font>
      <x:sz val="11"/>
      <x:name val="Arial"/>
    </x:font>
    <x:font>
      <x:b/>
      <x:sz val="16"/>
      <x:name val="Arial"/>
    </x:font>
    <x:font>
      <x:i/>
      <x:sz val="10"/>
      <x:name val="Arial"/>
    </x:font>
  </x:fonts>
  <x:fills count="4">
    <x:fill>
      <x:patternFill patternType="none"/>
    </x:fill>
    <x:fill>
      <x:patternFill patternType="gray125"/>
    </x:fill>
    <x:fill>
      <x:patternFill patternType="solid">
        <x:fgColor rgb="FF174EA6"/>
      </x:patternFill>
    </x:fill>
    <x:fill>
      <x:patternFill patternType="solid">
        <x:fgColor rgb="FFF5F7FA"/>
      </x:patternFill>
    </x:fill>
  </x:fills>
  <x:borders count="1">
    <x:border>
      <x:left/>
      <x:right/>
      <x:top/>
      <x:bottom/>
      <x:diagonal/>
    </x:border>
  </x:borders>
  <x:cellStyleXfs count="1">
    <x:xf numFmtId="0" fontId="0" fillId="0" borderId="0"/>
  </x:cellStyleXfs>
  <x:cellXfs count="2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4" fillId="0" borderId="0" xfId="0" applyNumberFormat="1" applyFont="1" applyFill="1" applyBorder="1"/>
    <x:xf numFmtId="0" fontId="1" fillId="2" borderId="0" xfId="0" applyNumberFormat="1" applyFont="1" applyFill="1" applyBorder="1"/>
    <x:xf numFmtId="0" fontId="5" fillId="2" borderId="0" xfId="0" applyNumberFormat="1" applyFont="1" applyFill="1" applyBorder="1"/>
    <x:xf numFmtId="0" fontId="5" fillId="2" borderId="0" xfId="0" applyNumberFormat="1" applyFont="1" applyFill="1" applyBorder="1" applyAlignment="1">
      <x:alignment horizontal="center"/>
    </x:xf>
    <x:xf numFmtId="0" fontId="5" fillId="2" borderId="0" xfId="0" applyNumberFormat="1" applyFont="1" applyFill="1" applyBorder="1" applyAlignment="1">
      <x:alignment horizontal="center" vertical="center"/>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6" fillId="0" borderId="0" xfId="0" applyNumberFormat="1" applyFont="1" applyFill="1" applyBorder="1"/>
    <x:xf numFmtId="0" fontId="6" fillId="0" borderId="0" xfId="0" applyNumberFormat="1" applyFont="1" applyFill="1" applyBorder="1" applyAlignment="1">
      <x:alignment wrapText="1"/>
    </x:xf>
    <x:xf numFmtId="0" fontId="6" fillId="0" borderId="0" xfId="0" applyNumberFormat="1" applyFont="1" applyFill="1" applyBorder="1" applyAlignment="1">
      <x:alignment vertical="top" wrapText="1"/>
    </x:xf>
    <x:xf numFmtId="0" fontId="6" fillId="2"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7" fillId="0" borderId="0" xfId="0" applyNumberFormat="1" applyFont="1" applyFill="1" applyBorder="1"/>
    <x:xf numFmtId="0" fontId="8" fillId="0" borderId="0" xfId="0" applyNumberFormat="1" applyFont="1" applyFill="1" applyBorder="1"/>
    <x:xf numFmtId="0" fontId="6" fillId="2" borderId="0" xfId="0" applyNumberFormat="1" applyFont="1" applyFill="1" applyBorder="1"/>
    <x:xf numFmtId="0" fontId="6" fillId="0" borderId="0" xfId="0" applyNumberFormat="1" applyFont="1" applyFill="1" applyBorder="1" applyAlignment="1">
      <x:alignment horizontal="right"/>
    </x:xf>
    <x:xf numFmtId="200" fontId="6" fillId="0" borderId="0" xfId="0" applyNumberFormat="1" applyFont="1" applyFill="1" applyBorder="1" applyAlignment="1">
      <x:alignment horizontal="right"/>
    </x:xf>
    <x:xf numFmtId="201" fontId="6" fillId="0" borderId="0" xfId="0" applyNumberFormat="1" applyFont="1" applyFill="1" applyBorder="1" applyAlignment="1">
      <x:alignment horizontal="right"/>
    </x:xf>
  </x:cellXfs>
  <x:cellStyles count="1">
    <x:cellStyle name="Normal" xfId="0"/>
  </x:cellStyles>
  <x:dxfs count="1">
    <x:dxf>
      <x:font>
        <x:b/>
        <x:color rgb="FFA50E0E"/>
      </x:font>
      <x:fill>
        <x:patternFill patternType="solid">
          <x:bgColor rgb="FFFCE8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82b55729ce743d8" /><Relationship Type="http://schemas.openxmlformats.org/officeDocument/2006/relationships/theme" Target="/xl/theme/theme1.xml" Id="Ra53feefb44f44821" /><Relationship Type="http://schemas.openxmlformats.org/officeDocument/2006/relationships/sharedStrings" Target="/xl/sharedStrings.xml" Id="R55ab5ed6a5634076" /><Relationship Type="http://schemas.openxmlformats.org/officeDocument/2006/relationships/worksheet" Target="/xl/worksheets/sheet1.xml" Id="R2508f98eacaa4a09" /><Relationship Type="http://schemas.openxmlformats.org/officeDocument/2006/relationships/worksheet" Target="/xl/worksheets/sheet2.xml" Id="R1416152d63894d0e" /><Relationship Type="http://schemas.openxmlformats.org/officeDocument/2006/relationships/worksheet" Target="/xl/worksheets/sheet3.xml" Id="R8d70959d0633428f" /></Relationships>
</file>

<file path=xl/tables/table1.xml><?xml version="1.0" encoding="utf-8"?>
<x:table xmlns:x="http://schemas.openxmlformats.org/spreadsheetml/2006/main" id="1" name="ReviewCases" displayName="ReviewCases" ref="A8:G48" headerRowCount="1" totalsRowCount="0" totalsRowShown="0">
  <x:tableColumns count="7">
    <x:tableColumn id="1" name="ID"/>
    <x:tableColumn id="2" name="Status"/>
    <x:tableColumn id="3" name="Requirements"/>
    <x:tableColumn id="4" name="Scenario"/>
    <x:tableColumn id="5" name="Expected result"/>
    <x:tableColumn id="6" name="Actual result"/>
    <x:tableColumn id="7" name="Evidence"/>
  </x:tableColumns>
  <x:tableStyleInfo name="TableStyleMedium2" showFirstColumn="0" showLastColumn="0" showRowStripes="1" showColumnStripes="0"/>
</x:table>
</file>

<file path=xl/tables/table2.xml><?xml version="1.0" encoding="utf-8"?>
<x:table xmlns:x="http://schemas.openxmlformats.org/spreadsheetml/2006/main" id="2" name="DetailedCases" displayName="DetailedCases" ref="A1:M41" headerRowCount="1" totalsRowCount="0" totalsRowShown="0">
  <x:tableColumns count="13">
    <x:tableColumn id="1" name="Test ID"/>
    <x:tableColumn id="2" name="Requirement ID"/>
    <x:tableColumn id="3" name="Scenario"/>
    <x:tableColumn id="4" name="Preconditions"/>
    <x:tableColumn id="5" name="Steps"/>
    <x:tableColumn id="6" name="Test data"/>
    <x:tableColumn id="7" name="Expected result"/>
    <x:tableColumn id="8" name="Actual result"/>
    <x:tableColumn id="9" name="Status"/>
    <x:tableColumn id="10" name="Priority"/>
    <x:tableColumn id="11" name="Evidence"/>
    <x:tableColumn id="12" name="Execution method"/>
    <x:tableColumn id="13" name="Executed UTC"/>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2d3a43cfc3944cf" /></Relationships>
</file>

<file path=xl/worksheets/_rels/sheet2.xml.rels>&#65279;<?xml version="1.0" encoding="utf-8"?><Relationships xmlns="http://schemas.openxmlformats.org/package/2006/relationships"><Relationship Type="http://schemas.openxmlformats.org/officeDocument/2006/relationships/table" Target="/xl/tables/table2.xml" Id="R1d3e649d99c54879" /></Relationships>
</file>

<file path=xl/worksheets/sheet1.xml><?xml version="1.0" encoding="utf-8"?>
<x:worksheet xmlns:x="http://schemas.openxmlformats.org/spreadsheetml/2006/main">
  <x:sheetPr>
    <x:tabColor rgb="FF174EA6"/>
  </x:sheetPr>
  <x:sheetViews>
    <x:sheetView showGridLines="0" workbookViewId="0">
      <x:pane xSplit="2" ySplit="8" topLeftCell="C9" activePane="bottomRight" state="frozen"/>
    </x:sheetView>
  </x:sheetViews>
  <x:sheetFormatPr defaultRowHeight="15"/>
  <x:cols>
    <x:col min="1" max="1" width="6.889999866485596" hidden="0" customWidth="1"/>
    <x:col min="2" max="2" width="10.220000267028809" hidden="0" customWidth="1"/>
    <x:col min="3" max="3" width="11.109999656677246" hidden="0" customWidth="1"/>
    <x:col min="4" max="4" width="32.220001220703125" hidden="0" customWidth="1"/>
    <x:col min="5" max="5" width="38.88999938964844" hidden="0" customWidth="1"/>
    <x:col min="6" max="6" width="51.11000061035156" hidden="0" customWidth="1"/>
    <x:col min="7" max="7" width="15.5600004196167" hidden="0" customWidth="1"/>
  </x:cols>
  <x:sheetData>
    <x:row r="2">
      <x:c r="A2" s="2" t="str">
        <x:v>Project and Resource Management QA review</x:v>
      </x:c>
      <x:c r="B2" s="1"/>
      <x:c r="C2" s="1"/>
      <x:c r="D2" s="1"/>
      <x:c r="E2" s="1"/>
      <x:c r="F2" s="1"/>
      <x:c r="G2" s="1"/>
    </x:row>
    <x:row r="3">
      <x:c r="A3" s="3" t="str">
        <x:v>Execution: agent-executed local Chromium/HTTP checks with PostgreSQL readback</x:v>
      </x:c>
      <x:c r="B3" s="1"/>
      <x:c r="C3" s="1"/>
      <x:c r="D3" s="1"/>
      <x:c r="E3" s="1"/>
      <x:c r="F3" s="1"/>
      <x:c r="G3" s="1"/>
    </x:row>
    <x:row r="4">
      <x:c r="A4" s="3" t="str">
        <x:v>Application commit: ea0366bab91eb5d37b53a416635f303b447e5435</x:v>
      </x:c>
      <x:c r="B4" s="1"/>
      <x:c r="C4" s="1"/>
      <x:c r="D4" s="1"/>
      <x:c r="E4" s="1"/>
      <x:c r="F4" s="1"/>
      <x:c r="G4" s="1"/>
    </x:row>
    <x:row r="5">
      <x:c r="A5" s="1" t="str">
        <x:f>"PASS: "&amp;COUNTIFS(B9:B48,"PASS")&amp;". FAIL: "&amp;COUNTIFS(B9:B48,"FAIL")&amp;"."</x:f>
        <x:v>PASS: 40. FAIL: 0.</x:v>
      </x:c>
      <x:c r="B5" s="1"/>
      <x:c r="C5" s="1"/>
      <x:c r="D5" s="1"/>
      <x:c r="E5" s="1"/>
      <x:c r="F5" s="1"/>
      <x:c r="G5" s="1"/>
    </x:row>
    <x:row r="6">
      <x:c r="A6" s="1"/>
      <x:c r="B6" s="1"/>
      <x:c r="C6" s="1"/>
      <x:c r="D6" s="1"/>
      <x:c r="E6" s="1"/>
      <x:c r="F6" s="1"/>
      <x:c r="G6" s="1"/>
    </x:row>
    <x:row r="7">
      <x:c r="A7" s="4" t="str">
        <x:v>Human manual testing and hosted-site verification remain pending. See qa40-review.md.</x:v>
      </x:c>
      <x:c r="B7" s="1"/>
      <x:c r="C7" s="1"/>
      <x:c r="D7" s="1"/>
      <x:c r="E7" s="1"/>
      <x:c r="F7" s="1"/>
      <x:c r="G7" s="1"/>
    </x:row>
    <x:row r="8" ht="28" customHeight="1">
      <x:c r="A8" s="8" t="str">
        <x:v>ID</x:v>
      </x:c>
      <x:c r="B8" s="8" t="str">
        <x:v>Status</x:v>
      </x:c>
      <x:c r="C8" s="8" t="str">
        <x:v>Requirements</x:v>
      </x:c>
      <x:c r="D8" s="8" t="str">
        <x:v>Scenario</x:v>
      </x:c>
      <x:c r="E8" s="8" t="str">
        <x:v>Expected result</x:v>
      </x:c>
      <x:c r="F8" s="8" t="str">
        <x:v>Actual result</x:v>
      </x:c>
      <x:c r="G8" s="8" t="str">
        <x:v>Evidence</x:v>
      </x:c>
    </x:row>
    <x:row r="9" ht="48.75" customHeight="1">
      <x:c r="A9" s="10" t="str">
        <x:v>M01</x:v>
      </x:c>
      <x:c r="B9" s="10" t="str">
        <x:v>PASS</x:v>
      </x:c>
      <x:c r="C9" s="10" t="str">
        <x:v>R10</x:v>
      </x:c>
      <x:c r="D9" s="10" t="str">
        <x:v>Valid sign-in for all three roles</x:v>
      </x:c>
      <x:c r="E9" s="10" t="str">
        <x:v>Correct identity, Overview and role navigation.</x:v>
      </x:c>
      <x:c r="F9" s="10" t="str">
        <x:v>Admin: correct Employees navigation
Project Manager: correct Employees navigation
Employee: correct Employees navigation</x:v>
      </x:c>
      <x:c r="G9" s="10" t="str">
        <x:v>M01.json
4 screenshots</x:v>
      </x:c>
    </x:row>
    <x:row r="10" ht="48.75" customHeight="1">
      <x:c r="A10" s="11" t="str">
        <x:v>M02</x:v>
      </x:c>
      <x:c r="B10" s="11" t="str">
        <x:v>PASS</x:v>
      </x:c>
      <x:c r="C10" s="11" t="str">
        <x:v>R10</x:v>
      </x:c>
      <x:c r="D10" s="11" t="str">
        <x:v>Invalid and empty sign-in credentials</x:v>
      </x:c>
      <x:c r="E10" s="11" t="str">
        <x:v>Generic incorrect-credentials errors and required-field validation.</x:v>
      </x:c>
      <x:c r="F10" s="11" t="str">
        <x:v>Invalid sign-in creates no account
Invalid sign-in creates no account
Blank credentials show required errors</x:v>
      </x:c>
      <x:c r="G10" s="11" t="str">
        <x:v>M02.json
2 screenshots</x:v>
      </x:c>
    </x:row>
    <x:row r="11" ht="48" customHeight="1">
      <x:c r="A11" s="10" t="str">
        <x:v>M03</x:v>
      </x:c>
      <x:c r="B11" s="10" t="str">
        <x:v>PASS</x:v>
      </x:c>
      <x:c r="C11" s="10" t="str">
        <x:v>R01,R10</x:v>
      </x:c>
      <x:c r="D11" s="10" t="str">
        <x:v>New account password-change gate</x:v>
      </x:c>
      <x:c r="E11" s="10" t="str">
        <x:v>Workspace blocked until a strong matching password is set.</x:v>
      </x:c>
      <x:c r="F11" s="10" t="str">
        <x:v>Direct project URL gated
Password changed and gate cleared in database</x:v>
      </x:c>
      <x:c r="G11" s="10" t="str">
        <x:v>M03.json
2 screenshots</x:v>
      </x:c>
    </x:row>
    <x:row r="12" ht="48" customHeight="1">
      <x:c r="A12" s="11" t="str">
        <x:v>M04</x:v>
      </x:c>
      <x:c r="B12" s="11" t="str">
        <x:v>PASS</x:v>
      </x:c>
      <x:c r="C12" s="11" t="str">
        <x:v>R10</x:v>
      </x:c>
      <x:c r="D12" s="11" t="str">
        <x:v>POST logout and protected-page access</x:v>
      </x:c>
      <x:c r="E12" s="11" t="str">
        <x:v>GET logout is 405; POST logout revokes workspace access.</x:v>
      </x:c>
      <x:c r="F12" s="11" t="str">
        <x:v>Protected URL requires login after POST logout</x:v>
      </x:c>
      <x:c r="G12" s="11" t="str">
        <x:v>M04.json
1 screenshots</x:v>
      </x:c>
    </x:row>
    <x:row r="13" ht="48" customHeight="1">
      <x:c r="A13" s="10" t="str">
        <x:v>M05</x:v>
      </x:c>
      <x:c r="B13" s="10" t="str">
        <x:v>PASS</x:v>
      </x:c>
      <x:c r="C13" s="10" t="str">
        <x:v>R01</x:v>
      </x:c>
      <x:c r="D13" s="10" t="str">
        <x:v>Create account and reject duplicate identifier</x:v>
      </x:c>
      <x:c r="E13" s="10" t="str">
        <x:v>One record only; valid names retained and password cleared on failure.</x:v>
      </x:c>
      <x:c r="F13" s="10" t="str">
        <x:v>Duplicate rejected; one account stored</x:v>
      </x:c>
      <x:c r="G13" s="10" t="str">
        <x:v>M05.json
1 screenshots</x:v>
      </x:c>
    </x:row>
    <x:row r="14" ht="48.75" customHeight="1">
      <x:c r="A14" s="11" t="str">
        <x:v>M06</x:v>
      </x:c>
      <x:c r="B14" s="11" t="str">
        <x:v>PASS</x:v>
      </x:c>
      <x:c r="C14" s="11" t="str">
        <x:v>R01,R10</x:v>
      </x:c>
      <x:c r="D14" s="11" t="str">
        <x:v>Edit account and explicitly reset password</x:v>
      </x:c>
      <x:c r="E14" s="11" t="str">
        <x:v>Blank reset preserves password; explicit reset requires password change.</x:v>
      </x:c>
      <x:c r="F14" s="11" t="str">
        <x:v>Blank reset preserves password and gate
Explicit reset hashes new password and sets gate
Reset account signs in to mandatory password change</x:v>
      </x:c>
      <x:c r="G14" s="11" t="str">
        <x:v>M06.json
1 screenshots</x:v>
      </x:c>
    </x:row>
    <x:row r="15" ht="48.75" customHeight="1">
      <x:c r="A15" s="10" t="str">
        <x:v>M07</x:v>
      </x:c>
      <x:c r="B15" s="10" t="str">
        <x:v>PASS</x:v>
      </x:c>
      <x:c r="C15" s="10" t="str">
        <x:v>R01,R03,R10</x:v>
      </x:c>
      <x:c r="D15" s="10" t="str">
        <x:v>Role changes with dependent relationships</x:v>
      </x:c>
      <x:c r="E15" s="10" t="str">
        <x:v>Invalid changes rejected without altering roles or relationships.</x:v>
      </x:c>
      <x:c r="F15" s="10" t="str">
        <x:v>Role guard preserves existing role
Role guard preserves existing role
Dependent relationships intact</x:v>
      </x:c>
      <x:c r="G15" s="10" t="str">
        <x:v>M07.json
3 screenshots</x:v>
      </x:c>
    </x:row>
    <x:row r="16" ht="48" customHeight="1">
      <x:c r="A16" s="11" t="str">
        <x:v>M08</x:v>
      </x:c>
      <x:c r="B16" s="11" t="str">
        <x:v>PASS</x:v>
      </x:c>
      <x:c r="C16" s="11" t="str">
        <x:v>R01,R07,R10</x:v>
      </x:c>
      <x:c r="D16" s="11" t="str">
        <x:v>Deactivate account with open session and work history</x:v>
      </x:c>
      <x:c r="E16" s="11" t="str">
        <x:v>Existing session and new login denied; historical work retained.</x:v>
      </x:c>
      <x:c r="F16" s="11" t="str">
        <x:v>Existing inactive session denied
Task and original contributor history preserved</x:v>
      </x:c>
      <x:c r="G16" s="11" t="str">
        <x:v>M08.json
1 screenshots</x:v>
      </x:c>
    </x:row>
    <x:row r="17" ht="48" customHeight="1">
      <x:c r="A17" s="10" t="str">
        <x:v>M09</x:v>
      </x:c>
      <x:c r="B17" s="10" t="str">
        <x:v>PASS</x:v>
      </x:c>
      <x:c r="C17" s="10" t="str">
        <x:v>R02,R06</x:v>
      </x:c>
      <x:c r="D17" s="10" t="str">
        <x:v>Create project with equal dates and correct owner</x:v>
      </x:c>
      <x:c r="E17" s="10" t="str">
        <x:v>Manager owns their project; Admin may choose another Manager.</x:v>
      </x:c>
      <x:c r="F17" s="10" t="str">
        <x:v>Equal dates accepted and Manager ownership assigned
Admin-selected Manager stored</x:v>
      </x:c>
      <x:c r="G17" s="10" t="str">
        <x:v>M09.json
1 screenshots</x:v>
      </x:c>
    </x:row>
    <x:row r="18" ht="61.5" customHeight="1">
      <x:c r="A18" s="11" t="str">
        <x:v>M10</x:v>
      </x:c>
      <x:c r="B18" s="11" t="str">
        <x:v>PASS</x:v>
      </x:c>
      <x:c r="C18" s="11" t="str">
        <x:v>R02,R06</x:v>
      </x:c>
      <x:c r="D18" s="11" t="str">
        <x:v>Invalid project dates and required fields</x:v>
      </x:c>
      <x:c r="E18" s="11" t="str">
        <x:v>Validation errors; useful input retained; no invalid record saved.</x:v>
      </x:c>
      <x:c r="F18" s="11" t="str">
        <x:v>Invalid project was not saved
Invalid project was not saved
Invalid project was not saved
Simulated save failure retains input and stores no project</x:v>
      </x:c>
      <x:c r="G18" s="11" t="str">
        <x:v>M10.json
5 screenshots</x:v>
      </x:c>
    </x:row>
    <x:row r="19" ht="48" customHeight="1">
      <x:c r="A19" s="10" t="str">
        <x:v>M11</x:v>
      </x:c>
      <x:c r="B19" s="10" t="str">
        <x:v>PASS</x:v>
      </x:c>
      <x:c r="C19" s="10" t="str">
        <x:v>R02</x:v>
      </x:c>
      <x:c r="D19" s="10" t="str">
        <x:v>Project edit, persistence and no-results state</x:v>
      </x:c>
      <x:c r="E19" s="10" t="str">
        <x:v>Edit survives refresh and new login; unmatched search is empty.</x:v>
      </x:c>
      <x:c r="F19" s="10" t="str">
        <x:v>Project search renders no-results message
Empty project has zero-work summary</x:v>
      </x:c>
      <x:c r="G19" s="10" t="str">
        <x:v>M11.json
1 screenshots</x:v>
      </x:c>
    </x:row>
    <x:row r="20" ht="48" customHeight="1">
      <x:c r="A20" s="11" t="str">
        <x:v>M12</x:v>
      </x:c>
      <x:c r="B20" s="11" t="str">
        <x:v>PASS</x:v>
      </x:c>
      <x:c r="C20" s="11" t="str">
        <x:v>R02,R10</x:v>
      </x:c>
      <x:c r="D20" s="11" t="str">
        <x:v>Project/team/report URL isolation</x:v>
      </x:c>
      <x:c r="E20" s="11" t="str">
        <x:v>Member reads allowed; foreign reads return 404 and Employee edits return 403.</x:v>
      </x:c>
      <x:c r="F20" s="11" t="str">
        <x:v>All recorded browser/HTTP assertions passed. See per-case event log.</x:v>
      </x:c>
      <x:c r="G20" s="11" t="str">
        <x:v>M12.json
3 screenshots</x:v>
      </x:c>
    </x:row>
    <x:row r="21" ht="48" customHeight="1">
      <x:c r="A21" s="10" t="str">
        <x:v>M13</x:v>
      </x:c>
      <x:c r="B21" s="10" t="str">
        <x:v>PASS</x:v>
      </x:c>
      <x:c r="C21" s="10" t="str">
        <x:v>R03</x:v>
      </x:c>
      <x:c r="D21" s="10" t="str">
        <x:v>Add active Employee and reject ineligible members</x:v>
      </x:c>
      <x:c r="E21" s="10" t="str">
        <x:v>Active Employee added; inactive account and Manager rejected.</x:v>
      </x:c>
      <x:c r="F21" s="10" t="str">
        <x:v>Active Employee membership saved</x:v>
      </x:c>
      <x:c r="G21" s="10" t="str">
        <x:v>M13.json
1 screenshots</x:v>
      </x:c>
    </x:row>
    <x:row r="22" ht="48" customHeight="1">
      <x:c r="A22" s="11" t="str">
        <x:v>M14</x:v>
      </x:c>
      <x:c r="B22" s="11" t="str">
        <x:v>PASS</x:v>
      </x:c>
      <x:c r="C22" s="11" t="str">
        <x:v>R03</x:v>
      </x:c>
      <x:c r="D22" s="11" t="str">
        <x:v>Reject duplicate project membership</x:v>
      </x:c>
      <x:c r="E22" s="11" t="str">
        <x:v>Duplicate is rejected and only one membership remains.</x:v>
      </x:c>
      <x:c r="F22" s="11" t="str">
        <x:v>One membership after duplicate request</x:v>
      </x:c>
      <x:c r="G22" s="11" t="str">
        <x:v>M14.json
1 screenshots</x:v>
      </x:c>
    </x:row>
    <x:row r="23" ht="48" customHeight="1">
      <x:c r="A23" s="10" t="str">
        <x:v>M15</x:v>
      </x:c>
      <x:c r="B23" s="10" t="str">
        <x:v>PASS</x:v>
      </x:c>
      <x:c r="C23" s="10" t="str">
        <x:v>R03,R04</x:v>
      </x:c>
      <x:c r="D23" s="10" t="str">
        <x:v>Block removal with unfinished assignments</x:v>
      </x:c>
      <x:c r="E23" s="10" t="str">
        <x:v>Actionable error; membership and assignments remain intact.</x:v>
      </x:c>
      <x:c r="F23" s="10" t="str">
        <x:v>Removal guard keeps membership and task</x:v>
      </x:c>
      <x:c r="G23" s="10" t="str">
        <x:v>M15.json
1 screenshots</x:v>
      </x:c>
    </x:row>
    <x:row r="24" ht="48" customHeight="1">
      <x:c r="A24" s="11" t="str">
        <x:v>M16</x:v>
      </x:c>
      <x:c r="B24" s="11" t="str">
        <x:v>PASS</x:v>
      </x:c>
      <x:c r="C24" s="11" t="str">
        <x:v>R03,R07,R10</x:v>
      </x:c>
      <x:c r="D24" s="11" t="str">
        <x:v>Remove member after reassignment</x:v>
      </x:c>
      <x:c r="E24" s="11" t="str">
        <x:v>Removal succeeds; original time attribution retained; access revoked.</x:v>
      </x:c>
      <x:c r="F24" s="11" t="str">
        <x:v>Original contributor retained after reassignment/removal</x:v>
      </x:c>
      <x:c r="G24" s="11" t="str">
        <x:v>M16.json
1 screenshots</x:v>
      </x:c>
    </x:row>
    <x:row r="25" ht="48" customHeight="1">
      <x:c r="A25" s="10" t="str">
        <x:v>M17</x:v>
      </x:c>
      <x:c r="B25" s="10" t="str">
        <x:v>PASS</x:v>
      </x:c>
      <x:c r="C25" s="10" t="str">
        <x:v>R04</x:v>
      </x:c>
      <x:c r="D25" s="10" t="str">
        <x:v>Create and assign task through the desktop UI</x:v>
      </x:c>
      <x:c r="E25" s="10" t="str">
        <x:v>New task starts TODO and appears in project and assignee's My tasks.</x:v>
      </x:c>
      <x:c r="F25" s="10" t="str">
        <x:v>TODO task and assignment stored</x:v>
      </x:c>
      <x:c r="G25" s="10" t="str">
        <x:v>M17.json
1 screenshots</x:v>
      </x:c>
    </x:row>
    <x:row r="26" ht="48" customHeight="1">
      <x:c r="A26" s="11" t="str">
        <x:v>M18</x:v>
      </x:c>
      <x:c r="B26" s="11" t="str">
        <x:v>PASS</x:v>
      </x:c>
      <x:c r="C26" s="11" t="str">
        <x:v>R04</x:v>
      </x:c>
      <x:c r="D26" s="11" t="str">
        <x:v>No eligible members, blank title and nonmember selection</x:v>
      </x:c>
      <x:c r="E26" s="11" t="str">
        <x:v>Clear empty guidance and validation; no invalid task saved.</x:v>
      </x:c>
      <x:c r="F26" s="11" t="str">
        <x:v>Nonmember assignment rejected</x:v>
      </x:c>
      <x:c r="G26" s="11" t="str">
        <x:v>M18.json
2 screenshots</x:v>
      </x:c>
    </x:row>
    <x:row r="27" ht="48.75" customHeight="1">
      <x:c r="A27" s="10" t="str">
        <x:v>M19</x:v>
      </x:c>
      <x:c r="B27" s="10" t="str">
        <x:v>PASS</x:v>
      </x:c>
      <x:c r="C27" s="10" t="str">
        <x:v>R04,R07</x:v>
      </x:c>
      <x:c r="D27" s="10" t="str">
        <x:v>Edit/reassign task with fixed project</x:v>
      </x:c>
      <x:c r="E27" s="10" t="str">
        <x:v>Task updated; project fixed; recorded work retains original contributor.</x:v>
      </x:c>
      <x:c r="F27" s="10" t="str">
        <x:v>Reassignment retains fixed project and historical contributor
Project is not editable</x:v>
      </x:c>
      <x:c r="G27" s="10" t="str">
        <x:v>M19.json
1 screenshots</x:v>
      </x:c>
    </x:row>
    <x:row r="28" ht="48" customHeight="1">
      <x:c r="A28" s="11" t="str">
        <x:v>M20</x:v>
      </x:c>
      <x:c r="B28" s="11" t="str">
        <x:v>PASS</x:v>
      </x:c>
      <x:c r="C28" s="11" t="str">
        <x:v>R05,R07</x:v>
      </x:c>
      <x:c r="D28" s="11" t="str">
        <x:v>Employee starts assigned task</x:v>
      </x:c>
      <x:c r="E28" s="11" t="str">
        <x:v>IN_PROGRESS enables Log time; starting creates no automatic time entry.</x:v>
      </x:c>
      <x:c r="F28" s="11" t="str">
        <x:v>Start changes only status, not recorded duration</x:v>
      </x:c>
      <x:c r="G28" s="11" t="str">
        <x:v>M20.json
1 screenshots</x:v>
      </x:c>
    </x:row>
    <x:row r="29" ht="48" customHeight="1">
      <x:c r="A29" s="10" t="str">
        <x:v>M21</x:v>
      </x:c>
      <x:c r="B29" s="10" t="str">
        <x:v>PASS</x:v>
      </x:c>
      <x:c r="C29" s="10" t="str">
        <x:v>R05</x:v>
      </x:c>
      <x:c r="D29" s="10" t="str">
        <x:v>Reject skipping, reversing and reopening status</x:v>
      </x:c>
      <x:c r="E29" s="10" t="str">
        <x:v>Illegal transitions rejected and stored status unchanged.</x:v>
      </x:c>
      <x:c r="F29" s="10" t="str">
        <x:v>No illegal transition saved</x:v>
      </x:c>
      <x:c r="G29" s="10" t="str">
        <x:v>M21.json
1 screenshots</x:v>
      </x:c>
    </x:row>
    <x:row r="30" ht="48" customHeight="1">
      <x:c r="A30" s="11" t="str">
        <x:v>M22</x:v>
      </x:c>
      <x:c r="B30" s="11" t="str">
        <x:v>PASS</x:v>
      </x:c>
      <x:c r="C30" s="11" t="str">
        <x:v>R05</x:v>
      </x:c>
      <x:c r="D30" s="11" t="str">
        <x:v>Completion confirmation and cancellation</x:v>
      </x:c>
      <x:c r="E30" s="11" t="str">
        <x:v>Remaining-time guidance; cancel preserves status; confirm locks task.</x:v>
      </x:c>
      <x:c r="F30" s="11" t="str">
        <x:v>Cancel retains status
Completion stored and Log time removed</x:v>
      </x:c>
      <x:c r="G30" s="11" t="str">
        <x:v>M22.json
2 screenshots</x:v>
      </x:c>
    </x:row>
    <x:row r="31" ht="48.75" customHeight="1">
      <x:c r="A31" s="10" t="str">
        <x:v>M23</x:v>
      </x:c>
      <x:c r="B31" s="10" t="str">
        <x:v>PASS</x:v>
      </x:c>
      <x:c r="C31" s="10" t="str">
        <x:v>R05,R07,R10</x:v>
      </x:c>
      <x:c r="D31" s="10" t="str">
        <x:v>Completed-task and time locks</x:v>
      </x:c>
      <x:c r="E31" s="10" t="str">
        <x:v>Manager/Employee direct URLs and API mutations reject prohibited changes.</x:v>
      </x:c>
      <x:c r="F31" s="10" t="str">
        <x:v>Completed task edit hidden
Completed task edit hidden
Rejected mutations leave completed work unchanged</x:v>
      </x:c>
      <x:c r="G31" s="10" t="str">
        <x:v>M23.json
1 screenshots</x:v>
      </x:c>
    </x:row>
    <x:row r="32" ht="48.75" customHeight="1">
      <x:c r="A32" s="11" t="str">
        <x:v>M24</x:v>
      </x:c>
      <x:c r="B32" s="11" t="str">
        <x:v>PASS</x:v>
      </x:c>
      <x:c r="C32" s="11" t="str">
        <x:v>R07</x:v>
      </x:c>
      <x:c r="D32" s="11" t="str">
        <x:v>Hours/minutes positive and boundary durations</x:v>
      </x:c>
      <x:c r="E32" s="11" t="str">
        <x:v>1h30m, 0h1m and 24h0m persist as 90, 1 and 1440 minutes.</x:v>
      </x:c>
      <x:c r="F32" s="11" t="str">
        <x:v>1h 30m persisted as 90 minutes
0h 1m persisted as 1 minutes
24h 0m persisted as 1440 minutes</x:v>
      </x:c>
      <x:c r="G32" s="11" t="str">
        <x:v>M24.json
1 screenshots</x:v>
      </x:c>
    </x:row>
    <x:row r="33" ht="112.5" customHeight="1">
      <x:c r="A33" s="10" t="str">
        <x:v>M25</x:v>
      </x:c>
      <x:c r="B33" s="10" t="str">
        <x:v>PASS</x:v>
      </x:c>
      <x:c r="C33" s="10" t="str">
        <x:v>R07</x:v>
      </x:c>
      <x:c r="D33" s="10" t="str">
        <x:v>Invalid hours/minutes retain useful input</x:v>
      </x:c>
      <x:c r="E33" s="10" t="str">
        <x:v>Zero, overflow, negative, fractional, minutes 60 and blanks rejected.</x:v>
      </x:c>
      <x:c r="F33" s="10" t="str">
        <x:v>Invalid duration 0h 0m rejected; note/date retained
Invalid duration 24h 1m rejected; note/date retained
Invalid duration -1h 0m rejected; note/date retained
Invalid duration 1.5h 0m rejected; note/date retained
Invalid duration 0h 60m rejected; note/date retained
Invalid duration 0h 1.5m rejected; note/date retained
Invalid duration ''h 10m rejected; note/date retained
Invalid duration 1h ''m rejected; note/date retained</x:v>
      </x:c>
      <x:c r="G33" s="10" t="str">
        <x:v>M25.json
2 screenshots</x:v>
      </x:c>
    </x:row>
    <x:row r="34" ht="48" customHeight="1">
      <x:c r="A34" s="11" t="str">
        <x:v>M26</x:v>
      </x:c>
      <x:c r="B34" s="11" t="str">
        <x:v>PASS</x:v>
      </x:c>
      <x:c r="C34" s="11" t="str">
        <x:v>R07</x:v>
      </x:c>
      <x:c r="D34" s="11" t="str">
        <x:v>Reject future work dates</x:v>
      </x:c>
      <x:c r="E34" s="11" t="str">
        <x:v>HTML and API reject tomorrow without saving time.</x:v>
      </x:c>
      <x:c r="F34" s="11" t="str">
        <x:v>Future date creates no time record</x:v>
      </x:c>
      <x:c r="G34" s="11" t="str">
        <x:v>M26.json
1 screenshots</x:v>
      </x:c>
    </x:row>
    <x:row r="35" ht="61.5" customHeight="1">
      <x:c r="A35" s="10" t="str">
        <x:v>M27</x:v>
      </x:c>
      <x:c r="B35" s="10" t="str">
        <x:v>PASS</x:v>
      </x:c>
      <x:c r="C35" s="10" t="str">
        <x:v>R07</x:v>
      </x:c>
      <x:c r="D35" s="10" t="str">
        <x:v>Edit time and cancel/confirm deletion</x:v>
      </x:c>
      <x:c r="E35" s="10" t="str">
        <x:v>Prefill splits 90 into 1h30m; edit saves 120; confirmed delete reduces total.</x:v>
      </x:c>
      <x:c r="F35" s="10" t="str">
        <x:v>Edited duration stored as 120 minutes
Cancel preserves time entry
Confirmed deletion removes only selected entry
Confirmed deletion restores the original task time total</x:v>
      </x:c>
      <x:c r="G35" s="10" t="str">
        <x:v>M27.json
2 screenshots</x:v>
      </x:c>
    </x:row>
    <x:row r="36" ht="48" customHeight="1">
      <x:c r="A36" s="11" t="str">
        <x:v>M28</x:v>
      </x:c>
      <x:c r="B36" s="11" t="str">
        <x:v>PASS</x:v>
      </x:c>
      <x:c r="C36" s="11" t="str">
        <x:v>R07,R10</x:v>
      </x:c>
      <x:c r="D36" s="11" t="str">
        <x:v>Time ownership and task-state permissions</x:v>
      </x:c>
      <x:c r="E36" s="11" t="str">
        <x:v>Other Employee, Manager and disallowed task states cannot mutate time.</x:v>
      </x:c>
      <x:c r="F36" s="11" t="str">
        <x:v>Time ownership/state failures leave entry intact</x:v>
      </x:c>
      <x:c r="G36" s="11" t="str">
        <x:v>M28.json
1 screenshots</x:v>
      </x:c>
    </x:row>
    <x:row r="37" ht="61.5" customHeight="1">
      <x:c r="A37" s="10" t="str">
        <x:v>M29</x:v>
      </x:c>
      <x:c r="B37" s="10" t="str">
        <x:v>PASS</x:v>
      </x:c>
      <x:c r="C37" s="10" t="str">
        <x:v>R05,R07</x:v>
      </x:c>
      <x:c r="D37" s="10" t="str">
        <x:v>Stale time form after completion or reassignment</x:v>
      </x:c>
      <x:c r="E37" s="10" t="str">
        <x:v>403 with retained input; no late entry is saved.</x:v>
      </x:c>
      <x:c r="F37" s="10" t="str">
        <x:v>Stale time POST returns 403
Stale form saves no entry and retains note
Stale time POST returns 403
Stale form saves no entry and retains note</x:v>
      </x:c>
      <x:c r="G37" s="10" t="str">
        <x:v>M29.json
3 screenshots</x:v>
      </x:c>
    </x:row>
    <x:row r="38" ht="48" customHeight="1">
      <x:c r="A38" s="11" t="str">
        <x:v>M30</x:v>
      </x:c>
      <x:c r="B38" s="11" t="str">
        <x:v>PASS</x:v>
      </x:c>
      <x:c r="C38" s="11" t="str">
        <x:v>R08</x:v>
      </x:c>
      <x:c r="D38" s="11" t="str">
        <x:v>Report totals, completion and empty project</x:v>
      </x:c>
      <x:c r="E38" s="11" t="str">
        <x:v>3 tasks, 2 complete, 180 minutes, 3 hours, 66.67%; empty project is zero.</x:v>
      </x:c>
      <x:c r="F38" s="11" t="str">
        <x:v>Report is 3 tasks, 2 completed, 180 min, 3h, 66.67%
Zero-task report returns zeros</x:v>
      </x:c>
      <x:c r="G38" s="11" t="str">
        <x:v>M30.json
2 screenshots</x:v>
      </x:c>
    </x:row>
    <x:row r="39" ht="99.75" customHeight="1">
      <x:c r="A39" s="10" t="str">
        <x:v>M31</x:v>
      </x:c>
      <x:c r="B39" s="10" t="str">
        <x:v>PASS</x:v>
      </x:c>
      <x:c r="C39" s="10" t="str">
        <x:v>R08,R10</x:v>
      </x:c>
      <x:c r="D39" s="10" t="str">
        <x:v>Role-scoped Overview and reports</x:v>
      </x:c>
      <x:c r="E39" s="10" t="str">
        <x:v>Admin sees all; Manager owned projects; Employee own work.</x:v>
      </x:c>
      <x:c r="F39" s="10" t="str">
        <x:v>admin sees 4 authorized projects
admin project report has correctly scoped minutes
neha sees 3 authorized projects
neha project report has correctly scoped minutes
asha sees 2 authorized projects
asha project report has correctly scoped minutes
Employee contributor report includes own work only</x:v>
      </x:c>
      <x:c r="G39" s="10" t="str">
        <x:v>M31.json
1 screenshots</x:v>
      </x:c>
    </x:row>
    <x:row r="40" ht="48" customHeight="1">
      <x:c r="A40" s="11" t="str">
        <x:v>M32</x:v>
      </x:c>
      <x:c r="B40" s="11" t="str">
        <x:v>PASS</x:v>
      </x:c>
      <x:c r="C40" s="11" t="str">
        <x:v>R05,R07,R10</x:v>
      </x:c>
      <x:c r="D40" s="11" t="str">
        <x:v>Explicit Admin completed-work corrections</x:v>
      </x:c>
      <x:c r="E40" s="11" t="str">
        <x:v>Correction retains COMPLETED, original task and original contributor.</x:v>
      </x:c>
      <x:c r="F40" s="11" t="str">
        <x:v>Admin correction preserves completed status and original identity</x:v>
      </x:c>
      <x:c r="G40" s="11" t="str">
        <x:v>M32.json
1 screenshots</x:v>
      </x:c>
    </x:row>
    <x:row r="41" ht="48" customHeight="1">
      <x:c r="A41" s="10" t="str">
        <x:v>M33</x:v>
      </x:c>
      <x:c r="B41" s="10" t="str">
        <x:v>PASS</x:v>
      </x:c>
      <x:c r="C41" s="10" t="str">
        <x:v>R07,R08</x:v>
      </x:c>
      <x:c r="D41" s="10" t="str">
        <x:v>SQL/report agreement and persistence</x:v>
      </x:c>
      <x:c r="E41" s="10" t="str">
        <x:v>Read-only SQL agrees with ORM reports, including historical contributors.</x:v>
      </x:c>
      <x:c r="F41" s="10" t="str">
        <x:v>Both SQL queries agree with all four project reports and historical contributors</x:v>
      </x:c>
      <x:c r="G41" s="10" t="str">
        <x:v>M33.json
1 screenshots</x:v>
      </x:c>
    </x:row>
    <x:row r="42" ht="48" customHeight="1">
      <x:c r="A42" s="11" t="str">
        <x:v>M34</x:v>
      </x:c>
      <x:c r="B42" s="11" t="str">
        <x:v>PASS</x:v>
      </x:c>
      <x:c r="C42" s="11" t="str">
        <x:v>R09</x:v>
      </x:c>
      <x:c r="D42" s="11" t="str">
        <x:v>REST workflow, partial updates and malformed input</x:v>
      </x:c>
      <x:c r="E42" s="11" t="str">
        <x:v>Valid workflow succeeds; omitted fields retained; invalid JSON/fields rejected.</x:v>
      </x:c>
      <x:c r="F42" s="11" t="str">
        <x:v>Partial PUT/PATCH retain omitted fields
Malformed JSON returns 400</x:v>
      </x:c>
      <x:c r="G42" s="11" t="str">
        <x:v>M34.json
1 screenshots</x:v>
      </x:c>
    </x:row>
    <x:row r="43" ht="48" customHeight="1">
      <x:c r="A43" s="10" t="str">
        <x:v>M35</x:v>
      </x:c>
      <x:c r="B43" s="10" t="str">
        <x:v>PASS</x:v>
      </x:c>
      <x:c r="C43" s="10" t="str">
        <x:v>R09,R10</x:v>
      </x:c>
      <x:c r="D43" s="10" t="str">
        <x:v>Forged ownership and privileged fields</x:v>
      </x:c>
      <x:c r="E43" s="10" t="str">
        <x:v>Protected fields rejected without altering ownership or privileges.</x:v>
      </x:c>
      <x:c r="F43" s="10" t="str">
        <x:v>Ownership/contributor/privileges unchanged</x:v>
      </x:c>
      <x:c r="G43" s="10" t="str">
        <x:v>M35.json
1 screenshots</x:v>
      </x:c>
    </x:row>
    <x:row r="44" ht="150.75" customHeight="1">
      <x:c r="A44" s="11" t="str">
        <x:v>M36</x:v>
      </x:c>
      <x:c r="B44" s="11" t="str">
        <x:v>PASS</x:v>
      </x:c>
      <x:c r="C44" s="11" t="str">
        <x:v>R09,R10</x:v>
      </x:c>
      <x:c r="D44" s="11" t="str">
        <x:v>List/filter/detail/report privacy and picker scope</x:v>
      </x:c>
      <x:c r="E44" s="11" t="str">
        <x:v>Foreign records/notes excluded; picker exposes only id and name.</x:v>
      </x:c>
      <x:c r="F44" s="11" t="str">
        <x:v>Foreign filter contains zero records
Foreign filter contains zero records
Foreign project absent from list
Foreign filter contains zero records
Foreign filter contains zero records
Foreign project absent from list
Other Employee's detailed time note absent from HTML
No private notes/password/privilege fields in serialization
No private notes/password/privilege fields in serialization
Picker fields limited to id/name
Picker includes active Employees only</x:v>
      </x:c>
      <x:c r="G44" s="11" t="str">
        <x:v>M36.json
1 screenshots</x:v>
      </x:c>
    </x:row>
    <x:row r="45" ht="48" customHeight="1">
      <x:c r="A45" s="10" t="str">
        <x:v>M37</x:v>
      </x:c>
      <x:c r="B45" s="10" t="str">
        <x:v>PASS</x:v>
      </x:c>
      <x:c r="C45" s="10" t="str">
        <x:v>R09,R10</x:v>
      </x:c>
      <x:c r="D45" s="10" t="str">
        <x:v>CSRF and strict JSON minutes</x:v>
      </x:c>
      <x:c r="E45" s="10" t="str">
        <x:v>Missing/wrong CSRF rejected; valid CSRF accepted; invalid numeric types rejected.</x:v>
      </x:c>
      <x:c r="F45" s="10" t="str">
        <x:v>Login without CSRF returns 403
Wrong CSRF token returns 403</x:v>
      </x:c>
      <x:c r="G45" s="10" t="str">
        <x:v>M37.json
1 screenshots</x:v>
      </x:c>
    </x:row>
    <x:row r="46" ht="48.75" customHeight="1">
      <x:c r="A46" s="11" t="str">
        <x:v>M38</x:v>
      </x:c>
      <x:c r="B46" s="11" t="str">
        <x:v>PASS</x:v>
      </x:c>
      <x:c r="C46" s="11" t="str">
        <x:v>R10</x:v>
      </x:c>
      <x:c r="D46" s="11" t="str">
        <x:v>Stored XSS, search input and account permissions</x:v>
      </x:c>
      <x:c r="E46" s="11" t="str">
        <x:v>Markup escaped; search treated literally; non-Admins cannot manage accounts.</x:v>
      </x:c>
      <x:c r="F46" s="11" t="str">
        <x:v>Stored markup does not execute JavaScript
Markup displayed as literal escaped text
SQL-like search is literal and does not broaden results</x:v>
      </x:c>
      <x:c r="G46" s="11" t="str">
        <x:v>M38.json
1 screenshots</x:v>
      </x:c>
    </x:row>
    <x:row r="47" ht="125.25" customHeight="1">
      <x:c r="A47" s="10" t="str">
        <x:v>M39</x:v>
      </x:c>
      <x:c r="B47" s="10" t="str">
        <x:v>PASS</x:v>
      </x:c>
      <x:c r="C47" s="10" t="str">
        <x:v>R02,R04,R05,R10</x:v>
      </x:c>
      <x:c r="D47" s="10" t="str">
        <x:v>Overview visibility before and after Employee starts a task</x:v>
      </x:c>
      <x:c r="E47" s="10" t="str">
        <x:v>Admin/Manager totals include the project; TODO task appears in Work in progress only after Start task; Employee sees own TODO work; foreign Manager excluded.</x:v>
      </x:c>
      <x:c r="F47" s="10" t="str">
        <x:v>neha: TODO task excluded from Work in progress
neha: new project included in summary
admin: TODO task excluded from Work in progress
admin: new project included in summary
Employee Overview includes own TODO task
Employee Start task button persists IN_PROGRESS
neha: started task and project visible in Work in progress
admin: started task and project visible in Work in progress
Foreign Manager cannot see the task</x:v>
      </x:c>
      <x:c r="G47" s="10" t="str">
        <x:v>M39.json
5 screenshots</x:v>
      </x:c>
    </x:row>
    <x:row r="48" ht="48" customHeight="1">
      <x:c r="A48" s="11" t="str">
        <x:v>M40</x:v>
      </x:c>
      <x:c r="B48" s="11" t="str">
        <x:v>PASS</x:v>
      </x:c>
      <x:c r="C48" s="11" t="str">
        <x:v>R02,R04,R07</x:v>
      </x:c>
      <x:c r="D48" s="11" t="str">
        <x:v>Protect history and allow safe deletion</x:v>
      </x:c>
      <x:c r="E48" s="11" t="str">
        <x:v>Dependent work protected; empty projects and tasks without history removable.</x:v>
      </x:c>
      <x:c r="F48" s="11" t="str">
        <x:v>Dependent project/task/time history preserved
Safe empty project and task deleted</x:v>
      </x:c>
      <x:c r="G48" s="11" t="str">
        <x:v>M40.json
1 screenshots</x:v>
      </x:c>
    </x:row>
  </x:sheetData>
  <x:conditionalFormatting sqref="B9:B48">
    <x:cfRule type="containsText" dxfId="0" priority="1" operator="containsText" text="FAIL"/>
  </x:conditionalFormatting>
  <x:pageMargins left="0.7" right="0.7" top="0.75" bottom="0.75" header="0.3" footer="0.3"/>
  <x:tableParts count="1">
    <x:tablePart xmlns:r="http://schemas.openxmlformats.org/officeDocument/2006/relationships" r:id="R62d3a43cfc3944cf"/>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7.21999979019165" hidden="0" customWidth="1"/>
    <x:col min="2" max="2" width="11.109999656677246" hidden="0" customWidth="1"/>
    <x:col min="3" max="3" width="28.889999389648438" hidden="0" customWidth="1"/>
    <x:col min="4" max="4" width="40" hidden="0" customWidth="1"/>
    <x:col min="5" max="5" width="57.779998779296875" hidden="0" customWidth="1"/>
    <x:col min="6" max="6" width="46.66999816894531" hidden="0" customWidth="1"/>
    <x:col min="7" max="7" width="36.66999816894531" hidden="0" customWidth="1"/>
    <x:col min="8" max="8" width="48.88999938964844" hidden="0" customWidth="1"/>
    <x:col min="9" max="9" width="11.109999656677246" hidden="0" customWidth="1"/>
    <x:col min="10" max="10" width="9.4399995803833" hidden="0" customWidth="1"/>
    <x:col min="11" max="11" width="31.110000610351562" hidden="0" customWidth="1"/>
    <x:col min="12" max="12" width="28.889999389648438" hidden="0" customWidth="1"/>
    <x:col min="13" max="13" width="23.329999923706055" hidden="0" customWidth="1"/>
  </x:cols>
  <x:sheetData>
    <x:row r="1" ht="30" customHeight="1">
      <x:c r="A1" s="16" t="str">
        <x:v>Test ID</x:v>
      </x:c>
      <x:c r="B1" s="16" t="str">
        <x:v>Requirement ID</x:v>
      </x:c>
      <x:c r="C1" s="16" t="str">
        <x:v>Scenario</x:v>
      </x:c>
      <x:c r="D1" s="16" t="str">
        <x:v>Preconditions</x:v>
      </x:c>
      <x:c r="E1" s="16" t="str">
        <x:v>Steps</x:v>
      </x:c>
      <x:c r="F1" s="16" t="str">
        <x:v>Test data</x:v>
      </x:c>
      <x:c r="G1" s="16" t="str">
        <x:v>Expected result</x:v>
      </x:c>
      <x:c r="H1" s="16" t="str">
        <x:v>Actual result</x:v>
      </x:c>
      <x:c r="I1" s="16" t="str">
        <x:v>Status</x:v>
      </x:c>
      <x:c r="J1" s="16" t="str">
        <x:v>Priority</x:v>
      </x:c>
      <x:c r="K1" s="16" t="str">
        <x:v>Evidence</x:v>
      </x:c>
      <x:c r="L1" s="16" t="str">
        <x:v>Execution method</x:v>
      </x:c>
      <x:c r="M1" s="16" t="str">
        <x:v>Executed UTC</x:v>
      </x:c>
    </x:row>
    <x:row r="2" ht="315" customHeight="1">
      <x:c r="A2" s="14" t="str">
        <x:v>M01</x:v>
      </x:c>
      <x:c r="B2" s="14" t="str">
        <x:v>R10</x:v>
      </x:c>
      <x:c r="C2" s="14" t="str">
        <x:v>Valid sign-in for all three roles</x:v>
      </x:c>
      <x:c r="D2"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 s="14" t="str">
        <x:v>1. GET /login/: 200 (expected 200)
2. Fill Login identifier = admin@demo.local
3. Fill Password = [password omitted]
4. Click Sign in
5. Browser sign-in as admin; Overview displayed
6. GET /login/: 200 (expected 200)
7. Fill Login identifier = neha@demo.local
8. Fill Password = [password omitted]
9. Click Sign in
10. Browser sign-in as neha; Overview displayed
11. GET /login/: 200 (expected 200)
12. Fill Login identifier = asha@demo.local
13. Fill Password = [password omitted]
14. Click Sign in
15. Browser sign-in as asha; Overview displayed</x:v>
      </x:c>
      <x:c r="F2" s="14" t="str">
        <x:v>Fill Login identifier = admin@demo.local
Fill Password = [password omitted]
Fill Login identifier = neha@demo.local
Fill Password = [password omitted]
Fill Login identifier = asha@demo.local
Fill Password = [password omitted]</x:v>
      </x:c>
      <x:c r="G2" s="14" t="str">
        <x:v>Correct identity, Overview and role navigation.</x:v>
      </x:c>
      <x:c r="H2" s="14" t="str">
        <x:v>Admin: correct Employees navigation
Project Manager: correct Employees navigation
Employee: correct Employees navigation</x:v>
      </x:c>
      <x:c r="I2" s="14" t="str">
        <x:v>PASS</x:v>
      </x:c>
      <x:c r="J2" s="14" t="str">
        <x:v>High</x:v>
      </x:c>
      <x:c r="K2" s="14" t="str">
        <x:v>docs/evidence/qa40/M01-admin.png
docs/evidence/qa40/M01-neha.png
docs/evidence/qa40/M01-asha.png
docs/evidence/qa40/M01-final.png
docs/evidence/qa40/M01.json</x:v>
      </x:c>
      <x:c r="L2" s="14" t="str">
        <x:v>Agent-executed Chromium browser/HTTP checks with PostgreSQL readback</x:v>
      </x:c>
      <x:c r="M2" s="14" t="d">
        <x:v>2026-10-09T08:36:51.469Z</x:v>
      </x:c>
    </x:row>
    <x:row r="3" ht="210" customHeight="1">
      <x:c r="A3" s="14" t="str">
        <x:v>M02</x:v>
      </x:c>
      <x:c r="B3" s="14" t="str">
        <x:v>R10</x:v>
      </x:c>
      <x:c r="C3" s="14" t="str">
        <x:v>Invalid and empty sign-in credentials</x:v>
      </x:c>
      <x:c r="D3"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 s="14" t="str">
        <x:v>1. GET /login/: 200 (expected 200)
2. Fill Login identifier = asha@demo.local
3. Fill Password = [password omitted]
4. Click Sign in
5. GET /login/: 200 (expected 200)
6. Fill Login identifier = does-not-exist@demo.local
7. Fill Password = [password omitted]
8. Click Sign in
9. GET /login/: 200 (expected 200)
10. Click Sign in</x:v>
      </x:c>
      <x:c r="F3" s="14" t="str">
        <x:v>Fill Login identifier = asha@demo.local
Fill Password = [password omitted]
Fill Login identifier = does-not-exist@demo.local
Fill Password = [password omitted]</x:v>
      </x:c>
      <x:c r="G3" s="14" t="str">
        <x:v>Generic incorrect-credentials errors and required-field validation.</x:v>
      </x:c>
      <x:c r="H3" s="14" t="str">
        <x:v>Invalid sign-in creates no account
Invalid sign-in creates no account
Blank credentials show required errors</x:v>
      </x:c>
      <x:c r="I3" s="14" t="str">
        <x:v>PASS</x:v>
      </x:c>
      <x:c r="J3" s="14" t="str">
        <x:v>High</x:v>
      </x:c>
      <x:c r="K3" s="14" t="str">
        <x:v>docs/evidence/qa40/M02-incorrect-credentials.png
docs/evidence/qa40/M02-final.png
docs/evidence/qa40/M02.json</x:v>
      </x:c>
      <x:c r="L3" s="14" t="str">
        <x:v>Agent-executed Chromium browser/HTTP checks with PostgreSQL readback</x:v>
      </x:c>
      <x:c r="M3" s="14" t="d">
        <x:v>2026-10-09T08:36:55.065Z</x:v>
      </x:c>
    </x:row>
    <x:row r="4" ht="483" customHeight="1">
      <x:c r="A4" s="14" t="str">
        <x:v>M03</x:v>
      </x:c>
      <x:c r="B4" s="14" t="str">
        <x:v>R01,R10</x:v>
      </x:c>
      <x:c r="C4" s="14" t="str">
        <x:v>New account password-change gate</x:v>
      </x:c>
      <x:c r="D4"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4" s="14" t="str">
        <x:v>1. GET /login/: 200 (expected 200)
2. Fill Login identifier = admin@demo.local
3. Fill Password = [password omitted]
4. Click Sign in
5. Browser sign-in as admin; Overview displayed
6. POST /api/accounts/ with JSON {"username":"qa40-new","password":"[chosen strong password]","role":"EMPLOYEE"}
7. GET /login/: 200 (expected 200)
8. Fill Login identifier = qa40-new
9. Fill Password = [password omitted]
10. Click Sign in
11. GET /projects/: 200 (expected 200)
12. Fill Old password = [password omitted]
13. Fill New password = [password omitted]
14. Fill New password confirmation = [password omitted]
15. Click Change password
16. Fill Old password = [password omitted]
17. Fill New password = [password omitted]
18. Fill New password confirmation = [password omitted]
19. Click Change password
20. Fill Old password = [password omitted]
21. Fill New password = [password omitted]
22. Fill New password confirmation = [password omitted]
23. Click Change password</x:v>
      </x:c>
      <x:c r="F4" s="14" t="str">
        <x:v>Fill Login identifier = admin@demo.local
Fill Password = [password omitted]
POST /api/accounts/ {"username":"qa40-new","password":"[chosen strong password]","role":"EMPLOYEE"}
Fill Login identifier = qa40-new
Fill Password = [password omitted]
Fill Old password = [password omitted]
Fill New password = [password omitted]
Fill New password confirmation = [password omitted]
Fill Old password = [password omitted]
Fill New password = [password omitted]
Fill New password confirmation = [password omitted]
Fill Old password = [password omitted]
Fill New password = [password omitted]
Fill New password confirmation = [password omitted]</x:v>
      </x:c>
      <x:c r="G4" s="14" t="str">
        <x:v>Workspace blocked until a strong matching password is set.</x:v>
      </x:c>
      <x:c r="H4" s="14" t="str">
        <x:v>Direct project URL gated
Password changed and gate cleared in database</x:v>
      </x:c>
      <x:c r="I4" s="14" t="str">
        <x:v>PASS</x:v>
      </x:c>
      <x:c r="J4" s="14" t="str">
        <x:v>High</x:v>
      </x:c>
      <x:c r="K4" s="14" t="str">
        <x:v>docs/evidence/qa40/M03-password-errors.png
docs/evidence/qa40/M03-final.png
docs/evidence/qa40/M03.json</x:v>
      </x:c>
      <x:c r="L4" s="14" t="str">
        <x:v>Agent-executed Chromium browser/HTTP checks with PostgreSQL readback</x:v>
      </x:c>
      <x:c r="M4" s="14" t="d">
        <x:v>2026-10-09T08:36:57.992Z</x:v>
      </x:c>
    </x:row>
    <x:row r="5" ht="210" customHeight="1">
      <x:c r="A5" s="14" t="str">
        <x:v>M04</x:v>
      </x:c>
      <x:c r="B5" s="14" t="str">
        <x:v>R10</x:v>
      </x:c>
      <x:c r="C5" s="14" t="str">
        <x:v>POST logout and protected-page access</x:v>
      </x:c>
      <x:c r="D5"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5" s="14" t="str">
        <x:v>1. GET /login/: 200 (expected 200)
2. Fill Login identifier = asha@demo.local
3. Fill Password = [password omitted]
4. Click Sign in
5. Browser sign-in as asha; Overview displayed
6. GET /logout/ with JSON {}
7. GET /logout/: 405 (expected 405)
8. GET /my-tasks/: 200 (expected 200)
9. Click Sign out
10. GET /my-tasks/: 200 (expected 200)</x:v>
      </x:c>
      <x:c r="F5" s="14" t="str">
        <x:v>Fill Login identifier = asha@demo.local
Fill Password = [password omitted]
GET /logout/ {}</x:v>
      </x:c>
      <x:c r="G5" s="14" t="str">
        <x:v>GET logout is 405; POST logout revokes workspace access.</x:v>
      </x:c>
      <x:c r="H5" s="14" t="str">
        <x:v>Protected URL requires login after POST logout</x:v>
      </x:c>
      <x:c r="I5" s="14" t="str">
        <x:v>PASS</x:v>
      </x:c>
      <x:c r="J5" s="14" t="str">
        <x:v>High</x:v>
      </x:c>
      <x:c r="K5" s="14" t="str">
        <x:v>docs/evidence/qa40/M04-final.png
docs/evidence/qa40/M04.json</x:v>
      </x:c>
      <x:c r="L5" s="14" t="str">
        <x:v>Agent-executed Chromium browser/HTTP checks with PostgreSQL readback</x:v>
      </x:c>
      <x:c r="M5" s="14" t="d">
        <x:v>2026-10-09T08:37:02.416Z</x:v>
      </x:c>
    </x:row>
    <x:row r="6" ht="357" customHeight="1">
      <x:c r="A6" s="14" t="str">
        <x:v>M05</x:v>
      </x:c>
      <x:c r="B6" s="14" t="str">
        <x:v>R01</x:v>
      </x:c>
      <x:c r="C6" s="14" t="str">
        <x:v>Create account and reject duplicate identifier</x:v>
      </x:c>
      <x:c r="D6"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6" s="14" t="str">
        <x:v>1. GET /login/: 200 (expected 200)
2. Fill Login identifier = admin@demo.local
3. Fill Password = [password omitted]
4. Click Sign in
5. Browser sign-in as admin; Overview displayed
6. GET /employees/create/: 200 (expected 200)
7. Fill First name = Review
8. Fill Last name = Employee
9. Fill Login identifier = review-employee
10. Fill Initial password = [password omitted]
11. Click Create employee
12. GET /employees/create/: 200 (expected 200)
13. Fill First name = Review
14. Fill Last name = Employee
15. Fill Login identifier = review-employee
16. Fill Initial password = [password omitted]
17. Click Create employee</x:v>
      </x:c>
      <x:c r="F6" s="14" t="str">
        <x:v>Fill Login identifier = admin@demo.local
Fill Password = [password omitted]
Fill First name = Review
Fill Last name = Employee
Fill Login identifier = review-employee
Fill Initial password = [password omitted]
Fill First name = Review
Fill Last name = Employee
Fill Login identifier = review-employee
Fill Initial password = [password omitted]</x:v>
      </x:c>
      <x:c r="G6" s="14" t="str">
        <x:v>One record only; valid names retained and password cleared on failure.</x:v>
      </x:c>
      <x:c r="H6" s="14" t="str">
        <x:v>Duplicate rejected; one account stored</x:v>
      </x:c>
      <x:c r="I6" s="14" t="str">
        <x:v>PASS</x:v>
      </x:c>
      <x:c r="J6" s="14" t="str">
        <x:v>High</x:v>
      </x:c>
      <x:c r="K6" s="14" t="str">
        <x:v>docs/evidence/qa40/M05-final.png
docs/evidence/qa40/M05.json</x:v>
      </x:c>
      <x:c r="L6" s="14" t="str">
        <x:v>Agent-executed Chromium browser/HTTP checks with PostgreSQL readback</x:v>
      </x:c>
      <x:c r="M6" s="14" t="d">
        <x:v>2026-10-09T08:37:05.171Z</x:v>
      </x:c>
    </x:row>
    <x:row r="7" ht="315" customHeight="1">
      <x:c r="A7" s="14" t="str">
        <x:v>M06</x:v>
      </x:c>
      <x:c r="B7" s="14" t="str">
        <x:v>R01,R10</x:v>
      </x:c>
      <x:c r="C7" s="14" t="str">
        <x:v>Edit account and explicitly reset password</x:v>
      </x:c>
      <x:c r="D7"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7" s="14" t="str">
        <x:v>1. GET /login/: 200 (expected 200)
2. Fill Login identifier = admin@demo.local
3. Fill Password = [password omitted]
4. Click Sign in
5. Browser sign-in as admin; Overview displayed
6. GET /employees/41/edit/: 200 (expected 200)
7. Fill First name = Asha Edited
8. Click Save employee
9. GET /employees/41/edit/: 200 (expected 200)
10. Fill Reset password = [password omitted]
11. Click Save employee
12. GET /login/: 200 (expected 200)
13. Fill Login identifier = asha@demo.local
14. Fill Password = [password omitted]
15. Click Sign in</x:v>
      </x:c>
      <x:c r="F7" s="14" t="str">
        <x:v>Fill Login identifier = admin@demo.local
Fill Password = [password omitted]
Fill First name = Asha Edited
Fill Reset password = [password omitted]
Fill Login identifier = asha@demo.local
Fill Password = [password omitted]</x:v>
      </x:c>
      <x:c r="G7" s="14" t="str">
        <x:v>Blank reset preserves password; explicit reset requires password change.</x:v>
      </x:c>
      <x:c r="H7" s="14" t="str">
        <x:v>Blank reset preserves password and gate
Explicit reset hashes new password and sets gate
Reset account signs in to mandatory password change</x:v>
      </x:c>
      <x:c r="I7" s="14" t="str">
        <x:v>PASS</x:v>
      </x:c>
      <x:c r="J7" s="14" t="str">
        <x:v>High</x:v>
      </x:c>
      <x:c r="K7" s="14" t="str">
        <x:v>docs/evidence/qa40/M06-final.png
docs/evidence/qa40/M06.json</x:v>
      </x:c>
      <x:c r="L7" s="14" t="str">
        <x:v>Agent-executed Chromium browser/HTTP checks with PostgreSQL readback</x:v>
      </x:c>
      <x:c r="M7" s="14" t="d">
        <x:v>2026-10-09T08:37:08.432Z</x:v>
      </x:c>
    </x:row>
    <x:row r="8" ht="189" customHeight="1">
      <x:c r="A8" s="14" t="str">
        <x:v>M07</x:v>
      </x:c>
      <x:c r="B8" s="14" t="str">
        <x:v>R01,R03,R10</x:v>
      </x:c>
      <x:c r="C8" s="14" t="str">
        <x:v>Role changes with dependent relationships</x:v>
      </x:c>
      <x:c r="D8"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8" s="14" t="str">
        <x:v>1. GET /login/: 200 (expected 200)
2. Fill Login identifier = admin@demo.local
3. Fill Password = [password omitted]
4. Click Sign in
5. Browser sign-in as admin; Overview displayed
6. GET /employees/46/edit/: 200 (expected 200)
7. Click Save employee
8. GET /employees/48/edit/: 200 (expected 200)
9. Click Save employee</x:v>
      </x:c>
      <x:c r="F8" s="14" t="str">
        <x:v>Fill Login identifier = admin@demo.local
Fill Password = [password omitted]</x:v>
      </x:c>
      <x:c r="G8" s="14" t="str">
        <x:v>Invalid changes rejected without altering roles or relationships.</x:v>
      </x:c>
      <x:c r="H8" s="14" t="str">
        <x:v>Role guard preserves existing role
Role guard preserves existing role
Dependent relationships intact</x:v>
      </x:c>
      <x:c r="I8" s="14" t="str">
        <x:v>PASS</x:v>
      </x:c>
      <x:c r="J8" s="14" t="str">
        <x:v>High</x:v>
      </x:c>
      <x:c r="K8" s="14" t="str">
        <x:v>docs/evidence/qa40/M07-neha.png
docs/evidence/qa40/M07-asha.png
docs/evidence/qa40/M07-final.png
docs/evidence/qa40/M07.json</x:v>
      </x:c>
      <x:c r="L8" s="14" t="str">
        <x:v>Agent-executed Chromium browser/HTTP checks with PostgreSQL readback</x:v>
      </x:c>
      <x:c r="M8" s="14" t="d">
        <x:v>2026-10-09T08:37:11.929Z</x:v>
      </x:c>
    </x:row>
    <x:row r="9" ht="315" customHeight="1">
      <x:c r="A9" s="14" t="str">
        <x:v>M08</x:v>
      </x:c>
      <x:c r="B9" s="14" t="str">
        <x:v>R01,R07,R10</x:v>
      </x:c>
      <x:c r="C9" s="14" t="str">
        <x:v>Deactivate account with open session and work history</x:v>
      </x:c>
      <x:c r="D9"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9" s="14" t="str">
        <x:v>1. GET /login/: 200 (expected 200)
2. Fill Login identifier = asha@demo.local
3. Fill Password = [password omitted]
4. Click Sign in
5. Browser sign-in as asha; Overview displayed
6. GET /login/: 200 (expected 200)
7. Fill Login identifier = admin@demo.local
8. Fill Password = [password omitted]
9. Click Sign in
10. Browser sign-in as admin; Overview displayed
11. POST /api/accounts/55/deactivate/ with JSON {}
12. GET /login/: 200 (expected 200)
13. Fill Login identifier = asha@demo.local
14. Fill Password = [password omitted]
15. Click Sign in</x:v>
      </x:c>
      <x:c r="F9" s="14" t="str">
        <x:v>Fill Login identifier = asha@demo.local
Fill Password = [password omitted]
Fill Login identifier = admin@demo.local
Fill Password = [password omitted]
POST /api/accounts/55/deactivate/ {}
Fill Login identifier = asha@demo.local
Fill Password = [password omitted]</x:v>
      </x:c>
      <x:c r="G9" s="14" t="str">
        <x:v>Existing session and new login denied; historical work retained.</x:v>
      </x:c>
      <x:c r="H9" s="14" t="str">
        <x:v>Existing inactive session denied
Task and original contributor history preserved</x:v>
      </x:c>
      <x:c r="I9" s="14" t="str">
        <x:v>PASS</x:v>
      </x:c>
      <x:c r="J9" s="14" t="str">
        <x:v>High</x:v>
      </x:c>
      <x:c r="K9" s="14" t="str">
        <x:v>docs/evidence/qa40/M08-final.png
docs/evidence/qa40/M08.json</x:v>
      </x:c>
      <x:c r="L9" s="14" t="str">
        <x:v>Agent-executed Chromium browser/HTTP checks with PostgreSQL readback</x:v>
      </x:c>
      <x:c r="M9" s="14" t="d">
        <x:v>2026-10-09T08:37:15.049Z</x:v>
      </x:c>
    </x:row>
    <x:row r="10" ht="420" customHeight="1">
      <x:c r="A10" s="14" t="str">
        <x:v>M09</x:v>
      </x:c>
      <x:c r="B10" s="14" t="str">
        <x:v>R02,R06</x:v>
      </x:c>
      <x:c r="C10" s="14" t="str">
        <x:v>Create project with equal dates and correct owner</x:v>
      </x:c>
      <x:c r="D10"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0" s="14" t="str">
        <x:v>1. GET /login/: 200 (expected 200)
2. Fill Login identifier = neha@demo.local
3. Fill Password = [password omitted]
4. Click Sign in
5. Browser sign-in as neha; Overview displayed
6. GET /projects/create/: 200 (expected 200)
7. Fill Project name = QA40 project
8. Fill Start date = 2026-10-09
9. Fill End date = 2026-10-09
10. Click Create project
11. GET /login/: 200 (expected 200)
12. Fill Login identifier = admin@demo.local
13. Fill Password = [password omitted]
14. Click Sign in
15. Browser sign-in as admin; Overview displayed
16. GET /projects/create/: 200 (expected 200)
17. Fill Project name = Admin selected project
18. Fill Start date = 2026-10-09
19. Fill End date = 2026-10-09
20. Click Create project</x:v>
      </x:c>
      <x:c r="F10" s="14" t="str">
        <x:v>Fill Login identifier = neha@demo.local
Fill Password = [password omitted]
Fill Project name = QA40 project
Fill Start date = 2026-10-09
Fill End date = 2026-10-09
Fill Login identifier = admin@demo.local
Fill Password = [password omitted]
Fill Project name = Admin selected project
Fill Start date = 2026-10-09
Fill End date = 2026-10-09</x:v>
      </x:c>
      <x:c r="G10" s="14" t="str">
        <x:v>Manager owns their project; Admin may choose another Manager.</x:v>
      </x:c>
      <x:c r="H10" s="14" t="str">
        <x:v>Equal dates accepted and Manager ownership assigned
Admin-selected Manager stored</x:v>
      </x:c>
      <x:c r="I10" s="14" t="str">
        <x:v>PASS</x:v>
      </x:c>
      <x:c r="J10" s="14" t="str">
        <x:v>High</x:v>
      </x:c>
      <x:c r="K10" s="14" t="str">
        <x:v>docs/evidence/qa40/M09-final.png
docs/evidence/qa40/M09.json</x:v>
      </x:c>
      <x:c r="L10" s="14" t="str">
        <x:v>Agent-executed Chromium browser/HTTP checks with PostgreSQL readback</x:v>
      </x:c>
      <x:c r="M10" s="14" t="d">
        <x:v>2026-10-09T08:37:18.417Z</x:v>
      </x:c>
    </x:row>
    <x:row r="11" ht="672" customHeight="1">
      <x:c r="A11" s="14" t="str">
        <x:v>M10</x:v>
      </x:c>
      <x:c r="B11" s="14" t="str">
        <x:v>R02,R06</x:v>
      </x:c>
      <x:c r="C11" s="14" t="str">
        <x:v>Invalid project dates and required fields</x:v>
      </x:c>
      <x:c r="D11"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 The failed-save subcheck uses an explicitly injected DatabaseError in the test harness; a human tester needs a controlled test-only failure setup.</x:v>
      </x:c>
      <x:c r="E11" s="14" t="str">
        <x:v>1. GET /login/: 200 (expected 200)
2. Fill Login identifier = neha@demo.local
3. Fill Password = [password omitted]
4. Click Sign in
5. Browser sign-in as neha; Overview displayed
6. GET /projects/create/: 200 (expected 200)
7. Fill Project name = Retained invalid project
8. Fill Start date = 2026-10-09
9. Fill End date = 2026-10-09
10. Fill Start date = 2026-10-09
11. Fill End date = 2026-10-08
12. Click Create project
13. GET /projects/create/: 200 (expected 200)
14. Fill Project name
15. Fill Start date = 2026-10-09
16. Fill End date = 2026-10-09
17. Fill Start date = 2026-10-09
18. Fill End date = 2026-10-09
19. Click Create project
20. GET /projects/create/: 200 (expected 200)
21. Fill Project name = Missing dates
22. Fill Start date = 2026-10-09
23. Fill End date = 2026-10-09
24. Fill Start date
25. Fill End date
26. Click Create project
27. GET /projects/create/: 200 (expected 200)
28. Fill Project name = Retain after failed save
29. Fill Start date = 2026-10-09
30. Fill End date = 2026-10-09
31. Fill Description = Retain this useful description
32. Click Create project</x:v>
      </x:c>
      <x:c r="F11" s="14" t="str">
        <x:v>Fill Login identifier = neha@demo.local
Fill Password = [password omitted]
Fill Project name = Retained invalid project
Fill Start date = 2026-10-09
Fill End date = 2026-10-09
Fill Start date = 2026-10-09
Fill End date = 2026-10-08
Fill Start date = 2026-10-09
Fill End date = 2026-10-09
Fill Start date = 2026-10-09
Fill End date = 2026-10-09
Fill Project name = Missing dates
Fill Start date = 2026-10-09
Fill End date = 2026-10-09
Fill Project name = Retain after failed save
Fill Start date = 2026-10-09
Fill End date = 2026-10-09
Fill Description = Retain this useful description</x:v>
      </x:c>
      <x:c r="G11" s="14" t="str">
        <x:v>Validation errors; useful input retained; no invalid record saved.</x:v>
      </x:c>
      <x:c r="H11" s="14" t="str">
        <x:v>Invalid project was not saved
Invalid project was not saved
Invalid project was not saved
Simulated save failure retains input and stores no project</x:v>
      </x:c>
      <x:c r="I11" s="14" t="str">
        <x:v>PASS</x:v>
      </x:c>
      <x:c r="J11" s="14" t="str">
        <x:v>High</x:v>
      </x:c>
      <x:c r="K11" s="14" t="str">
        <x:v>docs/evidence/qa40/M10-dates.png
docs/evidence/qa40/M10-dates.png
docs/evidence/qa40/M10-required.png
docs/evidence/qa40/M10-simulated-failed-save.png
docs/evidence/qa40/M10-final.png
docs/evidence/qa40/M10.json</x:v>
      </x:c>
      <x:c r="L11" s="14" t="str">
        <x:v>Agent-executed Chromium browser/HTTP checks with PostgreSQL readback</x:v>
      </x:c>
      <x:c r="M11" s="14" t="d">
        <x:v>2026-10-09T08:37:21.784Z</x:v>
      </x:c>
    </x:row>
    <x:row r="12" ht="336" customHeight="1">
      <x:c r="A12" s="14" t="str">
        <x:v>M11</x:v>
      </x:c>
      <x:c r="B12" s="14" t="str">
        <x:v>R02</x:v>
      </x:c>
      <x:c r="C12" s="14" t="str">
        <x:v>Project edit, persistence and no-results state</x:v>
      </x:c>
      <x:c r="D12"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2" s="14" t="str">
        <x:v>1. GET /login/: 200 (expected 200)
2. Fill Login identifier = neha@demo.local
3. Fill Password = [password omitted]
4. Click Sign in
5. Browser sign-in as neha; Overview displayed
6. GET /projects/43/edit/: 200 (expected 200)
7. Fill Project name = QA40 persisted rename
8. Click Save project
9. GET /login/: 200 (expected 200)
10. Fill Login identifier = neha@demo.local
11. Fill Password = [password omitted]
12. Click Sign in
13. Browser sign-in as neha; Overview displayed
14. GET /projects/43/: 200 (expected 200)
15. GET /projects/?q=there-is-no-such-project: 200 (expected 200)
16. GET /projects/45/: 200 (expected 200)</x:v>
      </x:c>
      <x:c r="F12" s="14" t="str">
        <x:v>Fill Login identifier = neha@demo.local
Fill Password = [password omitted]
Fill Project name = QA40 persisted rename
Fill Login identifier = neha@demo.local
Fill Password = [password omitted]</x:v>
      </x:c>
      <x:c r="G12" s="14" t="str">
        <x:v>Edit survives refresh and new login; unmatched search is empty.</x:v>
      </x:c>
      <x:c r="H12" s="14" t="str">
        <x:v>Project search renders no-results message
Empty project has zero-work summary</x:v>
      </x:c>
      <x:c r="I12" s="14" t="str">
        <x:v>PASS</x:v>
      </x:c>
      <x:c r="J12" s="14" t="str">
        <x:v>Medium</x:v>
      </x:c>
      <x:c r="K12" s="14" t="str">
        <x:v>docs/evidence/qa40/M11-final.png
docs/evidence/qa40/M11.json</x:v>
      </x:c>
      <x:c r="L12" s="14" t="str">
        <x:v>Agent-executed Chromium browser/HTTP checks with PostgreSQL readback</x:v>
      </x:c>
      <x:c r="M12" s="14" t="d">
        <x:v>2026-10-09T08:37:25.215Z</x:v>
      </x:c>
    </x:row>
    <x:row r="13" ht="546" customHeight="1">
      <x:c r="A13" s="14" t="str">
        <x:v>M12</x:v>
      </x:c>
      <x:c r="B13" s="14" t="str">
        <x:v>R02,R10</x:v>
      </x:c>
      <x:c r="C13" s="14" t="str">
        <x:v>Project/team/report URL isolation</x:v>
      </x:c>
      <x:c r="D13"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3" s="14" t="str">
        <x:v>1. GET /login/: 200 (expected 200)
2. Fill Login identifier = asha@demo.local
3. Fill Password = [password omitted]
4. Click Sign in
5. Browser sign-in as asha; Overview displayed
6. GET /projects/47/: 200 (expected 200)
7. GET /projects/47/team/: 200 (expected 200)
8. GET /projects/47/report/: 200 (expected 200)
9. GET /login/: 200 (expected 200)
10. Fill Login identifier = arjun@demo.local
11. Fill Password = [password omitted]
12. Click Sign in
13. Browser sign-in as arjun; Overview displayed
14. GET /projects/47/: 404 (expected 404)
15. GET /projects/47/team/: 404 (expected 404)
16. GET /projects/47/report/: 404 (expected 404)
17. GET /projects/47/edit/: 404 (expected 404)
18. GET /login/: 200 (expected 200)
19. Fill Login identifier = dev@demo.local
20. Fill Password = [password omitted]
21. Click Sign in
22. Browser sign-in as dev; Overview displayed
23. GET /projects/47/: 404 (expected 404)
24. GET /projects/47/team/: 404 (expected 404)
25. GET /projects/47/report/: 404 (expected 404)
26. GET /projects/47/edit/: 403 (expected 403)</x:v>
      </x:c>
      <x:c r="F13" s="14" t="str">
        <x:v>Fill Login identifier = asha@demo.local
Fill Password = [password omitted]
Fill Login identifier = arjun@demo.local
Fill Password = [password omitted]
Fill Login identifier = dev@demo.local
Fill Password = [password omitted]</x:v>
      </x:c>
      <x:c r="G13" s="14" t="str">
        <x:v>Member reads allowed; foreign reads return 404 and Employee edits return 403.</x:v>
      </x:c>
      <x:c r="H13" s="14" t="str">
        <x:v>All recorded browser/HTTP assertions passed. See per-case event log.</x:v>
      </x:c>
      <x:c r="I13" s="14" t="str">
        <x:v>PASS</x:v>
      </x:c>
      <x:c r="J13" s="14" t="str">
        <x:v>High</x:v>
      </x:c>
      <x:c r="K13" s="14" t="str">
        <x:v>docs/evidence/qa40/M12-arjun-unavailable.png
docs/evidence/qa40/M12-dev-unavailable.png
docs/evidence/qa40/M12-final.png
docs/evidence/qa40/M12.json</x:v>
      </x:c>
      <x:c r="L13" s="14" t="str">
        <x:v>Agent-executed Chromium browser/HTTP checks with PostgreSQL readback</x:v>
      </x:c>
      <x:c r="M13" s="14" t="d">
        <x:v>2026-10-09T08:37:28.458Z</x:v>
      </x:c>
    </x:row>
    <x:row r="14" ht="189" customHeight="1">
      <x:c r="A14" s="14" t="str">
        <x:v>M13</x:v>
      </x:c>
      <x:c r="B14" s="14" t="str">
        <x:v>R03</x:v>
      </x:c>
      <x:c r="C14" s="14" t="str">
        <x:v>Add active Employee and reject ineligible members</x:v>
      </x:c>
      <x:c r="D14"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4" s="14" t="str">
        <x:v>1. GET /login/: 200 (expected 200)
2. Fill Login identifier = neha@demo.local
3. Fill Password = [password omitted]
4. Click Sign in
5. Browser sign-in as neha; Overview displayed
6. GET /projects/53/team/add/: 200 (expected 200)
7. Click Add employee
8. POST /api/projects/53/memberships/ with JSON {"employee_id":92}
9. POST /api/projects/53/memberships/ with JSON {"employee_id":88}</x:v>
      </x:c>
      <x:c r="F14" s="14" t="str">
        <x:v>Fill Login identifier = neha@demo.local
Fill Password = [password omitted]
POST /api/projects/53/memberships/ {"employee_id":92}
POST /api/projects/53/memberships/ {"employee_id":88}</x:v>
      </x:c>
      <x:c r="G14" s="14" t="str">
        <x:v>Active Employee added; inactive account and Manager rejected.</x:v>
      </x:c>
      <x:c r="H14" s="14" t="str">
        <x:v>Active Employee membership saved</x:v>
      </x:c>
      <x:c r="I14" s="14" t="str">
        <x:v>PASS</x:v>
      </x:c>
      <x:c r="J14" s="14" t="str">
        <x:v>High</x:v>
      </x:c>
      <x:c r="K14" s="14" t="str">
        <x:v>docs/evidence/qa40/M13-final.png
docs/evidence/qa40/M13.json</x:v>
      </x:c>
      <x:c r="L14" s="14" t="str">
        <x:v>Agent-executed Chromium browser/HTTP checks with PostgreSQL readback</x:v>
      </x:c>
      <x:c r="M14" s="14" t="d">
        <x:v>2026-10-09T08:37:32.109Z</x:v>
      </x:c>
    </x:row>
    <x:row r="15" ht="126" customHeight="1">
      <x:c r="A15" s="14" t="str">
        <x:v>M14</x:v>
      </x:c>
      <x:c r="B15" s="14" t="str">
        <x:v>R03</x:v>
      </x:c>
      <x:c r="C15" s="14" t="str">
        <x:v>Reject duplicate project membership</x:v>
      </x:c>
      <x:c r="D15"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5" s="14" t="str">
        <x:v>1. GET /login/: 200 (expected 200)
2. Fill Login identifier = neha@demo.local
3. Fill Password = [password omitted]
4. Click Sign in
5. Browser sign-in as neha; Overview displayed
6. POST /api/projects/55/memberships/ with JSON {"employee_id":97}</x:v>
      </x:c>
      <x:c r="F15" s="14" t="str">
        <x:v>Fill Login identifier = neha@demo.local
Fill Password = [password omitted]
POST /api/projects/55/memberships/ {"employee_id":97}</x:v>
      </x:c>
      <x:c r="G15" s="14" t="str">
        <x:v>Duplicate is rejected and only one membership remains.</x:v>
      </x:c>
      <x:c r="H15" s="14" t="str">
        <x:v>One membership after duplicate request</x:v>
      </x:c>
      <x:c r="I15" s="14" t="str">
        <x:v>PASS</x:v>
      </x:c>
      <x:c r="J15" s="14" t="str">
        <x:v>High</x:v>
      </x:c>
      <x:c r="K15" s="14" t="str">
        <x:v>docs/evidence/qa40/M14-final.png
docs/evidence/qa40/M14.json</x:v>
      </x:c>
      <x:c r="L15" s="14" t="str">
        <x:v>Agent-executed Chromium browser/HTTP checks with PostgreSQL readback</x:v>
      </x:c>
      <x:c r="M15" s="14" t="d">
        <x:v>2026-10-09T08:37:34.913Z</x:v>
      </x:c>
    </x:row>
    <x:row r="16" ht="147" customHeight="1">
      <x:c r="A16" s="14" t="str">
        <x:v>M15</x:v>
      </x:c>
      <x:c r="B16" s="14" t="str">
        <x:v>R03,R04</x:v>
      </x:c>
      <x:c r="C16" s="14" t="str">
        <x:v>Block removal with unfinished assignments</x:v>
      </x:c>
      <x:c r="D16"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6" s="14" t="str">
        <x:v>1. GET /login/: 200 (expected 200)
2. Fill Login identifier = neha@demo.local
3. Fill Password = [password omitted]
4. Click Sign in
5. Browser sign-in as neha; Overview displayed
6. GET /projects/59/team/104/remove/: 200 (expected 200)
7. Click Remove employee</x:v>
      </x:c>
      <x:c r="F16" s="14" t="str">
        <x:v>Fill Login identifier = neha@demo.local
Fill Password = [password omitted]</x:v>
      </x:c>
      <x:c r="G16" s="14" t="str">
        <x:v>Actionable error; membership and assignments remain intact.</x:v>
      </x:c>
      <x:c r="H16" s="14" t="str">
        <x:v>Removal guard keeps membership and task</x:v>
      </x:c>
      <x:c r="I16" s="14" t="str">
        <x:v>PASS</x:v>
      </x:c>
      <x:c r="J16" s="14" t="str">
        <x:v>High</x:v>
      </x:c>
      <x:c r="K16" s="14" t="str">
        <x:v>docs/evidence/qa40/M15-final.png
docs/evidence/qa40/M15.json</x:v>
      </x:c>
      <x:c r="L16" s="14" t="str">
        <x:v>Agent-executed Chromium browser/HTTP checks with PostgreSQL readback</x:v>
      </x:c>
      <x:c r="M16" s="14" t="d">
        <x:v>2026-10-09T08:37:37.510Z</x:v>
      </x:c>
    </x:row>
    <x:row r="17" ht="336" customHeight="1">
      <x:c r="A17" s="14" t="str">
        <x:v>M16</x:v>
      </x:c>
      <x:c r="B17" s="14" t="str">
        <x:v>R03,R07,R10</x:v>
      </x:c>
      <x:c r="C17" s="14" t="str">
        <x:v>Remove member after reassignment</x:v>
      </x:c>
      <x:c r="D17"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7" s="14" t="str">
        <x:v>1. GET /login/: 200 (expected 200)
2. Fill Login identifier = neha@demo.local
3. Fill Password = [password omitted]
4. Click Sign in
5. Browser sign-in as neha; Overview displayed
6. PATCH /api/tasks/181/ with JSON {"assignee_id":112}
7. PATCH /api/tasks/183/ with JSON {"assignee_id":112}
8. DELETE /api/projects/63/memberships/111/ with JSON {}
9. GET /login/: 200 (expected 200)
10. Fill Login identifier = asha@demo.local
11. Fill Password = [password omitted]
12. Click Sign in
13. Browser sign-in as asha; Overview displayed
14. GET /tasks/181/: 404 (expected 404)
15. GET /api/projects/63/report/ with JSON {}
16. GET /api/projects/63/report/: 404 (expected 404)</x:v>
      </x:c>
      <x:c r="F17" s="14" t="str">
        <x:v>Fill Login identifier = neha@demo.local
Fill Password = [password omitted]
PATCH /api/tasks/181/ {"assignee_id":112}
PATCH /api/tasks/183/ {"assignee_id":112}
DELETE /api/projects/63/memberships/111/ {}
Fill Login identifier = asha@demo.local
Fill Password = [password omitted]
GET /api/projects/63/report/ {}</x:v>
      </x:c>
      <x:c r="G17" s="14" t="str">
        <x:v>Removal succeeds; original time attribution retained; access revoked.</x:v>
      </x:c>
      <x:c r="H17" s="14" t="str">
        <x:v>Original contributor retained after reassignment/removal</x:v>
      </x:c>
      <x:c r="I17" s="14" t="str">
        <x:v>PASS</x:v>
      </x:c>
      <x:c r="J17" s="14" t="str">
        <x:v>High</x:v>
      </x:c>
      <x:c r="K17" s="14" t="str">
        <x:v>docs/evidence/qa40/M16-final.png
docs/evidence/qa40/M16.json</x:v>
      </x:c>
      <x:c r="L17" s="14" t="str">
        <x:v>Agent-executed Chromium browser/HTTP checks with PostgreSQL readback</x:v>
      </x:c>
      <x:c r="M17" s="14" t="d">
        <x:v>2026-10-09T08:37:40.260Z</x:v>
      </x:c>
    </x:row>
    <x:row r="18" ht="315" customHeight="1">
      <x:c r="A18" s="14" t="str">
        <x:v>M17</x:v>
      </x:c>
      <x:c r="B18" s="14" t="str">
        <x:v>R04</x:v>
      </x:c>
      <x:c r="C18" s="14" t="str">
        <x:v>Create and assign task through the desktop UI</x:v>
      </x:c>
      <x:c r="D18"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8" s="14" t="str">
        <x:v>1. GET /login/: 200 (expected 200)
2. Fill Login identifier = neha@demo.local
3. Fill Password = [password omitted]
4. Click Sign in
5. Browser sign-in as neha; Overview displayed
6. GET /projects/67/tasks/create/: 200 (expected 200)
7. Fill Task title = QA40 assigned task
8. Click Create task
9. GET /projects/67/tasks/?status=TODO&amp;assignee=118: 200 (expected 200)
10. GET /login/: 200 (expected 200)
11. Fill Login identifier = asha@demo.local
12. Fill Password = [password omitted]
13. Click Sign in
14. Browser sign-in as asha; Overview displayed
15. GET /my-tasks/?status=TODO&amp;project=67: 200 (expected 200)</x:v>
      </x:c>
      <x:c r="F18" s="14" t="str">
        <x:v>Fill Login identifier = neha@demo.local
Fill Password = [password omitted]
Fill Task title = QA40 assigned task
Fill Login identifier = asha@demo.local
Fill Password = [password omitted]</x:v>
      </x:c>
      <x:c r="G18" s="14" t="str">
        <x:v>New task starts TODO and appears in project and assignee's My tasks.</x:v>
      </x:c>
      <x:c r="H18" s="14" t="str">
        <x:v>TODO task and assignment stored</x:v>
      </x:c>
      <x:c r="I18" s="14" t="str">
        <x:v>PASS</x:v>
      </x:c>
      <x:c r="J18" s="14" t="str">
        <x:v>High</x:v>
      </x:c>
      <x:c r="K18" s="14" t="str">
        <x:v>docs/evidence/qa40/M17-final.png
docs/evidence/qa40/M17.json</x:v>
      </x:c>
      <x:c r="L18" s="14" t="str">
        <x:v>Agent-executed Chromium browser/HTTP checks with PostgreSQL readback</x:v>
      </x:c>
      <x:c r="M18" s="14" t="d">
        <x:v>2026-10-09T08:37:43.369Z</x:v>
      </x:c>
    </x:row>
    <x:row r="19" ht="210" customHeight="1">
      <x:c r="A19" s="14" t="str">
        <x:v>M18</x:v>
      </x:c>
      <x:c r="B19" s="14" t="str">
        <x:v>R04</x:v>
      </x:c>
      <x:c r="C19" s="14" t="str">
        <x:v>No eligible members, blank title and nonmember selection</x:v>
      </x:c>
      <x:c r="D19"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9" s="14" t="str">
        <x:v>1. GET /login/: 200 (expected 200)
2. Fill Login identifier = neha@demo.local
3. Fill Password = [password omitted]
4. Click Sign in
5. Browser sign-in as neha; Overview displayed
6. GET /projects/73/tasks/create/: 200 (expected 200)
7. GET /projects/71/tasks/create/: 200 (expected 200)
8. Fill Description = Retain this description
9. Click Create task
10. POST /api/tasks/ with JSON {"project_id":71,"title":"Bad assignment","assignee_id":128}</x:v>
      </x:c>
      <x:c r="F19" s="14" t="str">
        <x:v>Fill Login identifier = neha@demo.local
Fill Password = [password omitted]
Fill Description = Retain this description
POST /api/tasks/ {"project_id":71,"title":"Bad assignment","assignee_id":128}</x:v>
      </x:c>
      <x:c r="G19" s="14" t="str">
        <x:v>Clear empty guidance and validation; no invalid task saved.</x:v>
      </x:c>
      <x:c r="H19" s="14" t="str">
        <x:v>Nonmember assignment rejected</x:v>
      </x:c>
      <x:c r="I19" s="14" t="str">
        <x:v>PASS</x:v>
      </x:c>
      <x:c r="J19" s="14" t="str">
        <x:v>High</x:v>
      </x:c>
      <x:c r="K19" s="14" t="str">
        <x:v>docs/evidence/qa40/M18-no-eligible-members.png
docs/evidence/qa40/M18-final.png
docs/evidence/qa40/M18.json</x:v>
      </x:c>
      <x:c r="L19" s="14" t="str">
        <x:v>Agent-executed Chromium browser/HTTP checks with PostgreSQL readback</x:v>
      </x:c>
      <x:c r="M19" s="14" t="d">
        <x:v>2026-10-09T08:37:46.617Z</x:v>
      </x:c>
    </x:row>
    <x:row r="20" ht="210" customHeight="1">
      <x:c r="A20" s="14" t="str">
        <x:v>M19</x:v>
      </x:c>
      <x:c r="B20" s="14" t="str">
        <x:v>R04,R07</x:v>
      </x:c>
      <x:c r="C20" s="14" t="str">
        <x:v>Edit/reassign task with fixed project</x:v>
      </x:c>
      <x:c r="D20"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0" s="14" t="str">
        <x:v>1. GET /login/: 200 (expected 200)
2. Fill Login identifier = neha@demo.local
3. Fill Password = [password omitted]
4. Click Sign in
5. Browser sign-in as neha; Overview displayed
6. GET /tasks/218/edit/: 200 (expected 200)
7. Fill Task title = QA40 edited task
8. Click Save task
9. PATCH /api/tasks/218/ with JSON {"project_id":77}
10. GET /tasks/218/edit/: 200 (expected 200)</x:v>
      </x:c>
      <x:c r="F20" s="14" t="str">
        <x:v>Fill Login identifier = neha@demo.local
Fill Password = [password omitted]
Fill Task title = QA40 edited task
PATCH /api/tasks/218/ {"project_id":77}</x:v>
      </x:c>
      <x:c r="G20" s="14" t="str">
        <x:v>Task updated; project fixed; recorded work retains original contributor.</x:v>
      </x:c>
      <x:c r="H20" s="14" t="str">
        <x:v>Reassignment retains fixed project and historical contributor
Project is not editable</x:v>
      </x:c>
      <x:c r="I20" s="14" t="str">
        <x:v>PASS</x:v>
      </x:c>
      <x:c r="J20" s="14" t="str">
        <x:v>High</x:v>
      </x:c>
      <x:c r="K20" s="14" t="str">
        <x:v>docs/evidence/qa40/M19-final.png
docs/evidence/qa40/M19.json</x:v>
      </x:c>
      <x:c r="L20" s="14" t="str">
        <x:v>Agent-executed Chromium browser/HTTP checks with PostgreSQL readback</x:v>
      </x:c>
      <x:c r="M20" s="14" t="d">
        <x:v>2026-10-09T08:37:49.493Z</x:v>
      </x:c>
    </x:row>
    <x:row r="21" ht="147" customHeight="1">
      <x:c r="A21" s="14" t="str">
        <x:v>M20</x:v>
      </x:c>
      <x:c r="B21" s="14" t="str">
        <x:v>R05,R07</x:v>
      </x:c>
      <x:c r="C21" s="14" t="str">
        <x:v>Employee starts assigned task</x:v>
      </x:c>
      <x:c r="D21"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1" s="14" t="str">
        <x:v>1. GET /login/: 200 (expected 200)
2. Fill Login identifier = asha@demo.local
3. Fill Password = [password omitted]
4. Click Sign in
5. Browser sign-in as asha; Overview displayed
6. GET /tasks/232/: 200 (expected 200)
7. Click Start task</x:v>
      </x:c>
      <x:c r="F21" s="14" t="str">
        <x:v>Fill Login identifier = asha@demo.local
Fill Password = [password omitted]</x:v>
      </x:c>
      <x:c r="G21" s="14" t="str">
        <x:v>IN_PROGRESS enables Log time; starting creates no automatic time entry.</x:v>
      </x:c>
      <x:c r="H21" s="14" t="str">
        <x:v>Start changes only status, not recorded duration</x:v>
      </x:c>
      <x:c r="I21" s="14" t="str">
        <x:v>PASS</x:v>
      </x:c>
      <x:c r="J21" s="14" t="str">
        <x:v>High</x:v>
      </x:c>
      <x:c r="K21" s="14" t="str">
        <x:v>docs/evidence/qa40/M20-final.png
docs/evidence/qa40/M20.json</x:v>
      </x:c>
      <x:c r="L21" s="14" t="str">
        <x:v>Agent-executed Chromium browser/HTTP checks with PostgreSQL readback</x:v>
      </x:c>
      <x:c r="M21" s="14" t="d">
        <x:v>2026-10-09T08:37:52.321Z</x:v>
      </x:c>
    </x:row>
    <x:row r="22" ht="168" customHeight="1">
      <x:c r="A22" s="14" t="str">
        <x:v>M21</x:v>
      </x:c>
      <x:c r="B22" s="14" t="str">
        <x:v>R05</x:v>
      </x:c>
      <x:c r="C22" s="14" t="str">
        <x:v>Reject skipping, reversing and reopening status</x:v>
      </x:c>
      <x:c r="D22"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2" s="14" t="str">
        <x:v>1. GET /login/: 200 (expected 200)
2. Fill Login identifier = asha@demo.local
3. Fill Password = [password omitted]
4. Click Sign in
5. Browser sign-in as asha; Overview displayed
6. PATCH /api/tasks/244/ with JSON {"status":"COMPLETED"}
7. PATCH /api/tasks/242/ with JSON {"status":"TODO"}
8. PATCH /api/tasks/246/ with JSON {"status":"IN_PROGRESS"}</x:v>
      </x:c>
      <x:c r="F22" s="14" t="str">
        <x:v>Fill Login identifier = asha@demo.local
Fill Password = [password omitted]
PATCH /api/tasks/244/ {"status":"COMPLETED"}
PATCH /api/tasks/242/ {"status":"TODO"}
PATCH /api/tasks/246/ {"status":"IN_PROGRESS"}</x:v>
      </x:c>
      <x:c r="G22" s="14" t="str">
        <x:v>Illegal transitions rejected and stored status unchanged.</x:v>
      </x:c>
      <x:c r="H22" s="14" t="str">
        <x:v>No illegal transition saved</x:v>
      </x:c>
      <x:c r="I22" s="14" t="str">
        <x:v>PASS</x:v>
      </x:c>
      <x:c r="J22" s="14" t="str">
        <x:v>High</x:v>
      </x:c>
      <x:c r="K22" s="14" t="str">
        <x:v>docs/evidence/qa40/M21-final.png
docs/evidence/qa40/M21.json</x:v>
      </x:c>
      <x:c r="L22" s="14" t="str">
        <x:v>Agent-executed Chromium browser/HTTP checks with PostgreSQL readback</x:v>
      </x:c>
      <x:c r="M22" s="14" t="d">
        <x:v>2026-10-09T08:37:55.193Z</x:v>
      </x:c>
    </x:row>
    <x:row r="23" ht="168" customHeight="1">
      <x:c r="A23" s="14" t="str">
        <x:v>M22</x:v>
      </x:c>
      <x:c r="B23" s="14" t="str">
        <x:v>R05</x:v>
      </x:c>
      <x:c r="C23" s="14" t="str">
        <x:v>Completion confirmation and cancellation</x:v>
      </x:c>
      <x:c r="D23"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3" s="14" t="str">
        <x:v>1. GET /login/: 200 (expected 200)
2. Fill Login identifier = asha@demo.local
3. Fill Password = [password omitted]
4. Click Sign in
5. Browser sign-in as asha; Overview displayed
6. GET /tasks/254/complete/: 200 (expected 200)
7. GET /tasks/254/complete/: 200 (expected 200)
8. Click Mark completed</x:v>
      </x:c>
      <x:c r="F23" s="14" t="str">
        <x:v>Fill Login identifier = asha@demo.local
Fill Password = [password omitted]</x:v>
      </x:c>
      <x:c r="G23" s="14" t="str">
        <x:v>Remaining-time guidance; cancel preserves status; confirm locks task.</x:v>
      </x:c>
      <x:c r="H23" s="14" t="str">
        <x:v>Cancel retains status
Completion stored and Log time removed</x:v>
      </x:c>
      <x:c r="I23" s="14" t="str">
        <x:v>PASS</x:v>
      </x:c>
      <x:c r="J23" s="14" t="str">
        <x:v>High</x:v>
      </x:c>
      <x:c r="K23" s="14" t="str">
        <x:v>docs/evidence/qa40/M22-confirmation.png
docs/evidence/qa40/M22-final.png
docs/evidence/qa40/M22.json</x:v>
      </x:c>
      <x:c r="L23" s="14" t="str">
        <x:v>Agent-executed Chromium browser/HTTP checks with PostgreSQL readback</x:v>
      </x:c>
      <x:c r="M23" s="14" t="d">
        <x:v>2026-10-09T08:37:57.898Z</x:v>
      </x:c>
    </x:row>
    <x:row r="24" ht="567" customHeight="1">
      <x:c r="A24" s="14" t="str">
        <x:v>M23</x:v>
      </x:c>
      <x:c r="B24" s="14" t="str">
        <x:v>R05,R07,R10</x:v>
      </x:c>
      <x:c r="C24" s="14" t="str">
        <x:v>Completed-task and time locks</x:v>
      </x:c>
      <x:c r="D24"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4" s="14" t="str">
        <x:v>1. GET /login/: 200 (expected 200)
2. Fill Login identifier = asha@demo.local
3. Fill Password = [password omitted]
4. Click Sign in
5. Browser sign-in as asha; Overview displayed
6. GET /tasks/270/: 200 (expected 200)
7. GET /tasks/270/edit/: 403 (expected 403)
8. GET /time-entries/157/edit/: 403 (expected 403)
9. GET /time-entries/157/delete/: 403 (expected 403)
10. PATCH /api/tasks/270/ with JSON {"status":"TODO"}
11. DELETE /api/tasks/270/ with JSON {}
12. PATCH /api/time-entries/157/ with JSON {"minutes":1}
13. DELETE /api/time-entries/157/ with JSON {}
14. GET /login/: 200 (expected 200)
15. Fill Login identifier = neha@demo.local
16. Fill Password = [password omitted]
17. Click Sign in
18. Browser sign-in as neha; Overview displayed
19. GET /tasks/270/: 200 (expected 200)
20. GET /tasks/270/edit/: 403 (expected 403)
21. GET /time-entries/157/edit/: 403 (expected 403)
22. GET /time-entries/157/delete/: 403 (expected 403)
23. PATCH /api/tasks/270/ with JSON {"status":"TODO"}
24. DELETE /api/tasks/270/ with JSON {}
25. PATCH /api/time-entries/157/ with JSON {"minutes":1}
26. DELETE /api/time-entries/157/ with JSON {}
27. PATCH /api/tasks/270/ with JSON {"assignee_id":161}</x:v>
      </x:c>
      <x:c r="F24" s="14" t="str">
        <x:v>Fill Login identifier = asha@demo.local
Fill Password = [password omitted]
PATCH /api/tasks/270/ {"status":"TODO"}
DELETE /api/tasks/270/ {}
PATCH /api/time-entries/157/ {"minutes":1}
DELETE /api/time-entries/157/ {}
Fill Login identifier = neha@demo.local
Fill Password = [password omitted]
PATCH /api/tasks/270/ {"status":"TODO"}
DELETE /api/tasks/270/ {}
PATCH /api/time-entries/157/ {"minutes":1}
DELETE /api/time-entries/157/ {}
PATCH /api/tasks/270/ {"assignee_id":161}</x:v>
      </x:c>
      <x:c r="G24" s="14" t="str">
        <x:v>Manager/Employee direct URLs and API mutations reject prohibited changes.</x:v>
      </x:c>
      <x:c r="H24" s="14" t="str">
        <x:v>Completed task edit hidden
Completed task edit hidden
Rejected mutations leave completed work unchanged</x:v>
      </x:c>
      <x:c r="I24" s="14" t="str">
        <x:v>PASS</x:v>
      </x:c>
      <x:c r="J24" s="14" t="str">
        <x:v>High</x:v>
      </x:c>
      <x:c r="K24" s="14" t="str">
        <x:v>docs/evidence/qa40/M23-final.png
docs/evidence/qa40/M23.json</x:v>
      </x:c>
      <x:c r="L24" s="14" t="str">
        <x:v>Agent-executed Chromium browser/HTTP checks with PostgreSQL readback</x:v>
      </x:c>
      <x:c r="M24" s="14" t="d">
        <x:v>2026-10-09T08:38:00.912Z</x:v>
      </x:c>
    </x:row>
    <x:row r="25" ht="483" customHeight="1">
      <x:c r="A25" s="14" t="str">
        <x:v>M24</x:v>
      </x:c>
      <x:c r="B25" s="14" t="str">
        <x:v>R07</x:v>
      </x:c>
      <x:c r="C25" s="14" t="str">
        <x:v>Hours/minutes positive and boundary durations</x:v>
      </x:c>
      <x:c r="D25"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5" s="14" t="str">
        <x:v>1. GET /login/: 200 (expected 200)
2. Fill Login identifier = asha@demo.local
3. Fill Password = [password omitted]
4. Click Sign in
5. Browser sign-in as asha; Overview displayed
6. GET /tasks/278/: 200 (expected 200)
7. Fill Work date = 2026-10-09
8. Fill Hours = 1
9. Fill Minutes = 30
10. Fill Work note = Boundary 90
11. Click Log time
12. GET /tasks/278/: 200 (expected 200)
13. Fill Work date = 2026-10-09
14. Fill Hours = 0
15. Fill Minutes = 1
16. Fill Work note = Boundary 1
17. Click Log time
18. GET /tasks/278/: 200 (expected 200)
19. Fill Work date = 2026-10-09
20. Fill Hours = 24
21. Fill Minutes = 0
22. Fill Work note = Boundary 1440
23. Click Log time</x:v>
      </x:c>
      <x:c r="F25" s="14" t="str">
        <x:v>Fill Login identifier = asha@demo.local
Fill Password = [password omitted]
Fill Work date = 2026-10-09
Fill Hours = 1
Fill Minutes = 30
Fill Work note = Boundary 90
Fill Work date = 2026-10-09
Fill Hours = 0
Fill Minutes = 1
Fill Work note = Boundary 1
Fill Work date = 2026-10-09
Fill Hours = 24
Fill Minutes = 0
Fill Work note = Boundary 1440</x:v>
      </x:c>
      <x:c r="G25" s="14" t="str">
        <x:v>1h30m, 0h1m and 24h0m persist as 90, 1 and 1440 minutes.</x:v>
      </x:c>
      <x:c r="H25" s="14" t="str">
        <x:v>1h 30m persisted as 90 minutes
0h 1m persisted as 1 minutes
24h 0m persisted as 1440 minutes</x:v>
      </x:c>
      <x:c r="I25" s="14" t="str">
        <x:v>PASS</x:v>
      </x:c>
      <x:c r="J25" s="14" t="str">
        <x:v>Medium</x:v>
      </x:c>
      <x:c r="K25" s="14" t="str">
        <x:v>docs/evidence/qa40/M24-final.png
docs/evidence/qa40/M24.json</x:v>
      </x:c>
      <x:c r="L25" s="14" t="str">
        <x:v>Agent-executed Chromium browser/HTTP checks with PostgreSQL readback</x:v>
      </x:c>
      <x:c r="M25" s="14" t="d">
        <x:v>2026-10-09T08:38:04.393Z</x:v>
      </x:c>
    </x:row>
    <x:row r="26" ht="1113" customHeight="1">
      <x:c r="A26" s="14" t="str">
        <x:v>M25</x:v>
      </x:c>
      <x:c r="B26" s="14" t="str">
        <x:v>R07</x:v>
      </x:c>
      <x:c r="C26" s="14" t="str">
        <x:v>Invalid hours/minutes retain useful input</x:v>
      </x:c>
      <x:c r="D26"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6" s="14" t="str">
        <x:v>1. GET /login/: 200 (expected 200)
2. Fill Login identifier = asha@demo.local
3. Fill Password = [password omitted]
4. Click Sign in
5. Browser sign-in as asha; Overview displayed
6. GET /tasks/290/: 200 (expected 200)
7. Fill Work date = 2026-10-09
8. Fill Hours = 0
9. Fill Minutes = 0
10. Fill Work note = Retain useful note
11. Click Log time
12. GET /tasks/290/: 200 (expected 200)
13. Fill Work date = 2026-10-09
14. Fill Hours = 24
15. Fill Minutes = 1
16. Fill Work note = Retain useful note
17. Click Log time
18. GET /tasks/290/: 200 (expected 200)
19. Fill Work date = 2026-10-09
20. Fill Hours = -1
21. Fill Minutes = 0
22. Fill Work note = Retain useful note
23. Click Log time
24. GET /tasks/290/: 200 (expected 200)
25. Fill Work date = 2026-10-09
26. Fill Hours = 1.5
27. Fill Minutes = 0
28. Fill Work note = Retain useful note
29. Click Log time
30. GET /tasks/290/: 200 (expected 200)
31. Fill Work date = 2026-10-09
32. Fill Hours = 0
33. Fill Minutes = 60
34. Fill Work note = Retain useful note
35. Click Log time
36. GET /tasks/290/: 200 (expected 200)
37. Fill Work date = 2026-10-09
38. Fill Hours = 0
39. Fill Minutes = 1.5
40. Fill Work note = Retain useful note
41. Click Log time
42. GET /tasks/290/: 200 (expected 200)
43. Fill Work date = 2026-10-09
44. Fill Hours
45. Fill Minutes = 10
46. Fill Work note = Retain useful note
47. Click Log time
48. GET /tasks/290/: 200 (expected 200)
49. Fill Work date = 2026-10-09
50. Fill Hours = 1
51. Fill Minutes
52. Fill Work note = Retain useful note
53. Click Log time</x:v>
      </x:c>
      <x:c r="F26" s="14" t="str">
        <x:v>Fill Login identifier = asha@demo.local
Fill Password = [password omitted]
Fill Work date = 2026-10-09
Fill Hours = 0
Fill Minutes = 0
Fill Work note = Retain useful note
Fill Work date = 2026-10-09
Fill Hours = 24
Fill Minutes = 1
Fill Work note = Retain useful note
Fill Work date = 2026-10-09
Fill Hours = -1
Fill Minutes = 0
Fill Work note = Retain useful note
Fill Work date = 2026-10-09
Fill Hours = 1.5
Fill Minutes = 0
Fill Work note = Retain useful note
Fill Work date = 2026-10-09
Fill Hours = 0
Fill Minutes = 60
Fill Work note = Retain useful note
Fill Work date = 2026-10-09
Fill Hours = 0
Fill Minutes = 1.5
Fill Work note = Retain useful note
Fill Work date = 2026-10-09
Fill Minutes = 10
Fill Work note = Retain useful note
Fill Work date = 2026-10-09
Fill Hours = 1
Fill Work note = Retain useful note</x:v>
      </x:c>
      <x:c r="G26" s="14" t="str">
        <x:v>Zero, overflow, negative, fractional, minutes 60 and blanks rejected.</x:v>
      </x:c>
      <x:c r="H26" s="14" t="str">
        <x:v>Invalid duration 0h 0m rejected; note/date retained
Invalid duration 24h 1m rejected; note/date retained
Invalid duration -1h 0m rejected; note/date retained
Invalid duration 1.5h 0m rejected; note/date retained
Invalid duration 0h 60m rejected; note/date retained
Invalid duration 0h 1.5m rejected; note/date retained
Invalid duration ''h 10m rejected; note/date retained
Invalid duration 1h ''m rejected; note/date retained</x:v>
      </x:c>
      <x:c r="I26" s="14" t="str">
        <x:v>PASS</x:v>
      </x:c>
      <x:c r="J26" s="14" t="str">
        <x:v>High</x:v>
      </x:c>
      <x:c r="K26" s="14" t="str">
        <x:v>docs/evidence/qa40/M25-validation.png
docs/evidence/qa40/M25-final.png
docs/evidence/qa40/M25.json</x:v>
      </x:c>
      <x:c r="L26" s="14" t="str">
        <x:v>Agent-executed Chromium browser/HTTP checks with PostgreSQL readback</x:v>
      </x:c>
      <x:c r="M26" s="14" t="d">
        <x:v>2026-10-09T08:38:07.600Z</x:v>
      </x:c>
    </x:row>
    <x:row r="27" ht="273" customHeight="1">
      <x:c r="A27" s="14" t="str">
        <x:v>M26</x:v>
      </x:c>
      <x:c r="B27" s="14" t="str">
        <x:v>R07</x:v>
      </x:c>
      <x:c r="C27" s="14" t="str">
        <x:v>Reject future work dates</x:v>
      </x:c>
      <x:c r="D27"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7" s="14" t="str">
        <x:v>1. GET /login/: 200 (expected 200)
2. Fill Login identifier = asha@demo.local
3. Fill Password = [password omitted]
4. Click Sign in
5. Browser sign-in as asha; Overview displayed
6. GET /tasks/302/: 200 (expected 200)
7. Fill Work date = 2026-10-09
8. Fill Hours = 1
9. Fill Minutes = 0
10. Fill Work note = QA40 work
11. Fill Work date = 2026-10-10
12. Click Log time
13. POST /api/time-entries/ with JSON {"task_id":302,"work_date":"2026-10-10","minutes":60}</x:v>
      </x:c>
      <x:c r="F27" s="14" t="str">
        <x:v>Fill Login identifier = asha@demo.local
Fill Password = [password omitted]
Fill Work date = 2026-10-09
Fill Hours = 1
Fill Minutes = 0
Fill Work note = QA40 work
Fill Work date = 2026-10-10
POST /api/time-entries/ {"task_id":302,"work_date":"2026-10-10","minutes":60}</x:v>
      </x:c>
      <x:c r="G27" s="14" t="str">
        <x:v>HTML and API reject tomorrow without saving time.</x:v>
      </x:c>
      <x:c r="H27" s="14" t="str">
        <x:v>Future date creates no time record</x:v>
      </x:c>
      <x:c r="I27" s="14" t="str">
        <x:v>PASS</x:v>
      </x:c>
      <x:c r="J27" s="14" t="str">
        <x:v>High</x:v>
      </x:c>
      <x:c r="K27" s="14" t="str">
        <x:v>docs/evidence/qa40/M26-final.png
docs/evidence/qa40/M26.json</x:v>
      </x:c>
      <x:c r="L27" s="14" t="str">
        <x:v>Agent-executed Chromium browser/HTTP checks with PostgreSQL readback</x:v>
      </x:c>
      <x:c r="M27" s="14" t="d">
        <x:v>2026-10-09T08:38:11.648Z</x:v>
      </x:c>
    </x:row>
    <x:row r="28" ht="378" customHeight="1">
      <x:c r="A28" s="14" t="str">
        <x:v>M27</x:v>
      </x:c>
      <x:c r="B28" s="14" t="str">
        <x:v>R07</x:v>
      </x:c>
      <x:c r="C28" s="14" t="str">
        <x:v>Edit time and cancel/confirm deletion</x:v>
      </x:c>
      <x:c r="D28"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8" s="14" t="str">
        <x:v>1. GET /login/: 200 (expected 200)
2. Fill Login identifier = asha@demo.local
3. Fill Password = [password omitted]
4. Click Sign in
5. Browser sign-in as asha; Overview displayed
6. GET /time-entries/186/edit/: 200 (expected 200)
7. Fill Hours = 2
8. Fill Minutes = 0
9. Click Save time
10. GET /tasks/314/: 200 (expected 200)
11. Fill Work date = 2026-10-09
12. Fill Hours = 0
13. Fill Minutes = 30
14. Fill Work note = Delete this test entry
15. Click Log time
16. GET /time-entries/193/delete/: 200 (expected 200)
17. GET /time-entries/193/delete/: 200 (expected 200)
18. Click Delete time entry</x:v>
      </x:c>
      <x:c r="F28" s="14" t="str">
        <x:v>Fill Login identifier = asha@demo.local
Fill Password = [password omitted]
Fill Hours = 2
Fill Minutes = 0
Fill Work date = 2026-10-09
Fill Hours = 0
Fill Minutes = 30
Fill Work note = Delete this test entry</x:v>
      </x:c>
      <x:c r="G28" s="14" t="str">
        <x:v>Prefill splits 90 into 1h30m; edit saves 120; confirmed delete reduces total.</x:v>
      </x:c>
      <x:c r="H28" s="14" t="str">
        <x:v>Edited duration stored as 120 minutes
Cancel preserves time entry
Confirmed deletion removes only selected entry
Confirmed deletion restores the original task time total</x:v>
      </x:c>
      <x:c r="I28" s="14" t="str">
        <x:v>PASS</x:v>
      </x:c>
      <x:c r="J28" s="14" t="str">
        <x:v>Medium</x:v>
      </x:c>
      <x:c r="K28" s="14" t="str">
        <x:v>docs/evidence/qa40/M27-delete-confirmation.png
docs/evidence/qa40/M27-final.png
docs/evidence/qa40/M27.json</x:v>
      </x:c>
      <x:c r="L28" s="14" t="str">
        <x:v>Agent-executed Chromium browser/HTTP checks with PostgreSQL readback</x:v>
      </x:c>
      <x:c r="M28" s="14" t="d">
        <x:v>2026-10-09T08:38:14.567Z</x:v>
      </x:c>
    </x:row>
    <x:row r="29" ht="462" customHeight="1">
      <x:c r="A29" s="14" t="str">
        <x:v>M28</x:v>
      </x:c>
      <x:c r="B29" s="14" t="str">
        <x:v>R07,R10</x:v>
      </x:c>
      <x:c r="C29" s="14" t="str">
        <x:v>Time ownership and task-state permissions</x:v>
      </x:c>
      <x:c r="D29"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9" s="14" t="str">
        <x:v>1. GET /login/: 200 (expected 200)
2. Fill Login identifier = ravi@demo.local
3. Fill Password = [password omitted]
4. Click Sign in
5. Browser sign-in as ravi; Overview displayed
6. PATCH /api/time-entries/194/ with JSON {"minutes":1}
7. DELETE /api/time-entries/194/ with JSON {}
8. GET /login/: 200 (expected 200)
9. Fill Login identifier = neha@demo.local
10. Fill Password = [password omitted]
11. Click Sign in
12. Browser sign-in as neha; Overview displayed
13. PATCH /api/time-entries/194/ with JSON {"minutes":1}
14. DELETE /api/time-entries/194/ with JSON {}
15. GET /login/: 200 (expected 200)
16. Fill Login identifier = asha@demo.local
17. Fill Password = [password omitted]
18. Click Sign in
19. Browser sign-in as asha; Overview displayed
20. POST /api/time-entries/ with JSON {"task_id":328,"work_date":"2026-10-09","minutes":60}
21. POST /api/time-entries/ with JSON {"task_id":330,"work_date":"2026-10-09","minutes":60}
22. PATCH /api/time-entries/194/ with JSON {"minutes":1}</x:v>
      </x:c>
      <x:c r="F29" s="14" t="str">
        <x:v>Fill Login identifier = ravi@demo.local
Fill Password = [password omitted]
PATCH /api/time-entries/194/ {"minutes":1}
DELETE /api/time-entries/194/ {}
Fill Login identifier = neha@demo.local
Fill Password = [password omitted]
PATCH /api/time-entries/194/ {"minutes":1}
DELETE /api/time-entries/194/ {}
Fill Login identifier = asha@demo.local
Fill Password = [password omitted]
POST /api/time-entries/ {"task_id":328,"work_date":"2026-10-09","minutes":60}
POST /api/time-entries/ {"task_id":330,"work_date":"2026-10-09","minutes":60}
PATCH /api/time-entries/194/ {"minutes":1}</x:v>
      </x:c>
      <x:c r="G29" s="14" t="str">
        <x:v>Other Employee, Manager and disallowed task states cannot mutate time.</x:v>
      </x:c>
      <x:c r="H29" s="14" t="str">
        <x:v>Time ownership/state failures leave entry intact</x:v>
      </x:c>
      <x:c r="I29" s="14" t="str">
        <x:v>PASS</x:v>
      </x:c>
      <x:c r="J29" s="14" t="str">
        <x:v>High</x:v>
      </x:c>
      <x:c r="K29" s="14" t="str">
        <x:v>docs/evidence/qa40/M28-final.png
docs/evidence/qa40/M28.json</x:v>
      </x:c>
      <x:c r="L29" s="14" t="str">
        <x:v>Agent-executed Chromium browser/HTTP checks with PostgreSQL readback</x:v>
      </x:c>
      <x:c r="M29" s="14" t="d">
        <x:v>2026-10-09T08:38:17.938Z</x:v>
      </x:c>
    </x:row>
    <x:row r="30" ht="609" customHeight="1">
      <x:c r="A30" s="14" t="str">
        <x:v>M29</x:v>
      </x:c>
      <x:c r="B30" s="14" t="str">
        <x:v>R05,R07</x:v>
      </x:c>
      <x:c r="C30" s="14" t="str">
        <x:v>Stale time form after completion or reassignment</x:v>
      </x:c>
      <x:c r="D30"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0" s="14" t="str">
        <x:v>1. GET /login/: 200 (expected 200)
2. Fill Login identifier = asha@demo.local
3. Fill Password = [password omitted]
4. Click Sign in
5. Browser sign-in as asha; Overview displayed
6. GET /tasks/338/: 200 (expected 200)
7. Fill Work date = 2026-10-09
8. Fill Hours = 1
9. Fill Minutes = 0
10. Fill Work note = Retained stale note
11. GET /login/: 200 (expected 200)
12. Fill Login identifier = neha@demo.local
13. Fill Password = [password omitted]
14. Click Sign in
15. Browser sign-in as neha; Overview displayed
16. PATCH /api/tasks/338/ with JSON {"status":"COMPLETED"}
17. Click Log time
18. GET /tasks/340/: 200 (expected 200)
19. Fill Work date = 2026-10-09
20. Fill Hours = 1
21. Fill Minutes = 0
22. Fill Work note = Retained stale note
23. GET /login/: 200 (expected 200)
24. Fill Login identifier = neha@demo.local
25. Fill Password = [password omitted]
26. Click Sign in
27. Browser sign-in as neha; Overview displayed
28. PATCH /api/tasks/340/ with JSON {"assignee_id":203}
29. Click Log time</x:v>
      </x:c>
      <x:c r="F30" s="14" t="str">
        <x:v>Fill Login identifier = asha@demo.local
Fill Password = [password omitted]
Fill Work date = 2026-10-09
Fill Hours = 1
Fill Minutes = 0
Fill Work note = Retained stale note
Fill Login identifier = neha@demo.local
Fill Password = [password omitted]
PATCH /api/tasks/338/ {"status":"COMPLETED"}
Fill Work date = 2026-10-09
Fill Hours = 1
Fill Minutes = 0
Fill Work note = Retained stale note
Fill Login identifier = neha@demo.local
Fill Password = [password omitted]
PATCH /api/tasks/340/ {"assignee_id":203}</x:v>
      </x:c>
      <x:c r="G30" s="14" t="str">
        <x:v>403 with retained input; no late entry is saved.</x:v>
      </x:c>
      <x:c r="H30" s="14" t="str">
        <x:v>Stale time POST returns 403
Stale form saves no entry and retains note
Stale time POST returns 403
Stale form saves no entry and retains note</x:v>
      </x:c>
      <x:c r="I30" s="14" t="str">
        <x:v>PASS</x:v>
      </x:c>
      <x:c r="J30" s="14" t="str">
        <x:v>High</x:v>
      </x:c>
      <x:c r="K30" s="14" t="str">
        <x:v>docs/evidence/qa40/M29-completed.png
docs/evidence/qa40/M29-reassign.png
docs/evidence/qa40/M29-final.png
docs/evidence/qa40/M29.json</x:v>
      </x:c>
      <x:c r="L30" s="14" t="str">
        <x:v>Agent-executed Chromium browser/HTTP checks with PostgreSQL readback</x:v>
      </x:c>
      <x:c r="M30" s="14" t="d">
        <x:v>2026-10-09T08:38:21.400Z</x:v>
      </x:c>
    </x:row>
    <x:row r="31" ht="672" customHeight="1">
      <x:c r="A31" s="14" t="str">
        <x:v>M30</x:v>
      </x:c>
      <x:c r="B31" s="14" t="str">
        <x:v>R08</x:v>
      </x:c>
      <x:c r="C31" s="14" t="str">
        <x:v>Report totals, completion and empty project</x:v>
      </x:c>
      <x:c r="D31"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1" s="14" t="str">
        <x:v>1. GET /login/: 200 (expected 200)
2. Fill Login identifier = neha@demo.local
3. Fill Password = [password omitted]
4. Click Sign in
5. Browser sign-in as neha; Overview displayed
6. POST /api/projects/ with JSON {"name":"QA40 report","start_date":"2026-10-09","end_date":"2026-10-09"}
7. POST /api/projects/123/memberships/ with JSON {"employee_id":209}
8. POST /api/tasks/ with JSON {"project_id":123,"title":"Report task 0","assignee_id":209}
9. POST /api/tasks/ with JSON {"project_id":123,"title":"Report task 1","assignee_id":209}
10. POST /api/tasks/ with JSON {"project_id":123,"title":"Report task 2","assignee_id":209}
11. GET /login/: 200 (expected 200)
12. Fill Login identifier = asha@demo.local
13. Fill Password = [password omitted]
14. Click Sign in
15. Browser sign-in as asha; Overview displayed
16. PATCH /api/tasks/362/ with JSON {"status":"IN_PROGRESS"}
17. POST /api/time-entries/ with JSON {"task_id":362,"work_date":"2026-10-09","minutes":90}
18. PATCH /api/tasks/363/ with JSON {"status":"IN_PROGRESS"}
19. POST /api/time-entries/ with JSON {"task_id":363,"work_date":"2026-10-09","minutes":30}
20. POST /api/time-entries/ with JSON {"task_id":362,"work_date":"2026-10-09","minutes":60}
21. PATCH /api/tasks/362/ with JSON {"status":"COMPLETED"}
22. PATCH /api/tasks/363/ with JSON {"status":"COMPLETED"}
23. GET /login/: 200 (expected 200)
24. Fill Login identifier = neha@demo.local
25. Fill Password = [password omitted]
26. Click Sign in
27. Browser sign-in as neha; Overview displayed
28. GET /api/projects/123/report/ with JSON {}
29. GET /api/projects/123/report/: 200 (expected 200)
30. GET /projects/123/report/: 200 (expected 200)
31. GET /api/projects/121/report/ with JSON {}
32. GET /api/projects/121/report/: 200 (expected 200)</x:v>
      </x:c>
      <x:c r="F31" s="14" t="str">
        <x:v>Fill Login identifier = neha@demo.local
Fill Password = [password omitted]
POST /api/projects/ {"name":"QA40 report","start_date":"2026-10-09","end_date":"2026-10-09"}
POST /api/projects/123/memberships/ {"employee_id":209}
POST /api/tasks/ {"project_id":123,"title":"Report task 0","assignee_id":209}
POST /api/tasks/ {"project_id":123,"title":"Report task 1","assignee_id":209}
POST /api/tasks/ {"project_id":123,"title":"Report task 2","assignee_id":209}
Fill Login identifier = asha@demo.local
Fill Password = [password omitted]
PATCH /api/tasks/362/ {"status":"IN_PROGRESS"}
POST /api/time-entries/ {"task_id":362,"work_date":"2026-10-09","minutes":90}
PATCH /api/tasks/363/ {"status":"IN_PROGRESS"}
POST /api/time-entries/ {"task_id":363,"work_date":"2026-10-09","minutes":30}
POST /api/time-entries/ {"task_id":362,"work_date":"2026-10-09","minutes":60}
PATCH /api/tasks/362/ {"status":"COMPLETED"}
PATCH /api/tasks/363/ {"status":"COMPLETED"}
Fill Login identifier = neha@demo.local
Fill Password = [password omitted]
GET /api/projects/123/report/ {}
GET /api/projects/121/report/ {}</x:v>
      </x:c>
      <x:c r="G31" s="14" t="str">
        <x:v>3 tasks, 2 complete, 180 minutes, 3 hours, 66.67%; empty project is zero.</x:v>
      </x:c>
      <x:c r="H31" s="14" t="str">
        <x:v>Report is 3 tasks, 2 completed, 180 min, 3h, 66.67%
Zero-task report returns zeros</x:v>
      </x:c>
      <x:c r="I31" s="14" t="str">
        <x:v>PASS</x:v>
      </x:c>
      <x:c r="J31" s="14" t="str">
        <x:v>High</x:v>
      </x:c>
      <x:c r="K31" s="14" t="str">
        <x:v>docs/evidence/qa40/M30-report.png
docs/evidence/qa40/M30-final.png
docs/evidence/qa40/M30.json</x:v>
      </x:c>
      <x:c r="L31" s="14" t="str">
        <x:v>Agent-executed Chromium browser/HTTP checks with PostgreSQL readback</x:v>
      </x:c>
      <x:c r="M31" s="14" t="d">
        <x:v>2026-10-09T08:38:25.507Z</x:v>
      </x:c>
    </x:row>
    <x:row r="32" ht="567" customHeight="1">
      <x:c r="A32" s="14" t="str">
        <x:v>M31</x:v>
      </x:c>
      <x:c r="B32" s="14" t="str">
        <x:v>R08,R10</x:v>
      </x:c>
      <x:c r="C32" s="14" t="str">
        <x:v>Role-scoped Overview and reports</x:v>
      </x:c>
      <x:c r="D32"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2" s="14" t="str">
        <x:v>1. GET /login/: 200 (expected 200)
2. Fill Login identifier = admin@demo.local
3. Fill Password = [password omitted]
4. Click Sign in
5. Browser sign-in as admin; Overview displayed
6. GET /api/overview/ with JSON {}
7. GET /api/overview/: 200 (expected 200)
8. GET /api/projects/124/report/ with JSON {}
9. GET /api/projects/124/report/: 200 (expected 200)
10. GET /login/: 200 (expected 200)
11. Fill Login identifier = neha@demo.local
12. Fill Password = [password omitted]
13. Click Sign in
14. Browser sign-in as neha; Overview displayed
15. GET /api/overview/ with JSON {}
16. GET /api/overview/: 200 (expected 200)
17. GET /api/projects/124/report/ with JSON {}
18. GET /api/projects/124/report/: 200 (expected 200)
19. GET /login/: 200 (expected 200)
20. Fill Login identifier = asha@demo.local
21. Fill Password = [password omitted]
22. Click Sign in
23. Browser sign-in as asha; Overview displayed
24. GET /api/overview/ with JSON {}
25. GET /api/overview/: 200 (expected 200)
26. GET /api/projects/124/report/ with JSON {}
27. GET /api/projects/124/report/: 200 (expected 200)</x:v>
      </x:c>
      <x:c r="F32" s="14" t="str">
        <x:v>Fill Login identifier = admin@demo.local
Fill Password = [password omitted]
GET /api/overview/ {}
GET /api/projects/124/report/ {}
Fill Login identifier = neha@demo.local
Fill Password = [password omitted]
GET /api/overview/ {}
GET /api/projects/124/report/ {}
Fill Login identifier = asha@demo.local
Fill Password = [password omitted]
GET /api/overview/ {}
GET /api/projects/124/report/ {}</x:v>
      </x:c>
      <x:c r="G32" s="14" t="str">
        <x:v>Admin sees all; Manager owned projects; Employee own work.</x:v>
      </x:c>
      <x:c r="H32" s="14" t="str">
        <x:v>admin sees 4 authorized projects
admin project report has correctly scoped minutes
neha sees 3 authorized projects
neha project report has correctly scoped minutes
asha sees 2 authorized projects
asha project report has correctly scoped minutes
Employee contributor report includes own work only</x:v>
      </x:c>
      <x:c r="I32" s="14" t="str">
        <x:v>PASS</x:v>
      </x:c>
      <x:c r="J32" s="14" t="str">
        <x:v>High</x:v>
      </x:c>
      <x:c r="K32" s="14" t="str">
        <x:v>docs/evidence/qa40/M31-final.png
docs/evidence/qa40/M31.json</x:v>
      </x:c>
      <x:c r="L32" s="14" t="str">
        <x:v>Agent-executed Chromium browser/HTTP checks with PostgreSQL readback</x:v>
      </x:c>
      <x:c r="M32" s="14" t="d">
        <x:v>2026-10-09T08:38:29.275Z</x:v>
      </x:c>
    </x:row>
    <x:row r="33" ht="273" customHeight="1">
      <x:c r="A33" s="14" t="str">
        <x:v>M32</x:v>
      </x:c>
      <x:c r="B33" s="14" t="str">
        <x:v>R05,R07,R10</x:v>
      </x:c>
      <x:c r="C33" s="14" t="str">
        <x:v>Explicit Admin completed-work corrections</x:v>
      </x:c>
      <x:c r="D33"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3" s="14" t="str">
        <x:v>1. GET /login/: 200 (expected 200)
2. Fill Login identifier = admin@demo.local
3. Fill Password = [password omitted]
4. Click Sign in
5. Browser sign-in as admin; Overview displayed
6. GET /tasks/381/correction/: 200 (expected 200)
7. Fill Task title = QA40 corrected audit
8. Click Correct completed task
9. GET /time-entries/227/correction/: 200 (expected 200)
10. Fill Hours = 4
11. Fill Minutes = 10
12. Click Correct time entry
13. PATCH /api/tasks/381/correction/ with JSON {"status":"TODO"}</x:v>
      </x:c>
      <x:c r="F33" s="14" t="str">
        <x:v>Fill Login identifier = admin@demo.local
Fill Password = [password omitted]
Fill Task title = QA40 corrected audit
Fill Hours = 4
Fill Minutes = 10
PATCH /api/tasks/381/correction/ {"status":"TODO"}</x:v>
      </x:c>
      <x:c r="G33" s="14" t="str">
        <x:v>Correction retains COMPLETED, original task and original contributor.</x:v>
      </x:c>
      <x:c r="H33" s="14" t="str">
        <x:v>Admin correction preserves completed status and original identity</x:v>
      </x:c>
      <x:c r="I33" s="14" t="str">
        <x:v>PASS</x:v>
      </x:c>
      <x:c r="J33" s="14" t="str">
        <x:v>High</x:v>
      </x:c>
      <x:c r="K33" s="14" t="str">
        <x:v>docs/evidence/qa40/M32-final.png
docs/evidence/qa40/M32.json</x:v>
      </x:c>
      <x:c r="L33" s="14" t="str">
        <x:v>Agent-executed Chromium browser/HTTP checks with PostgreSQL readback</x:v>
      </x:c>
      <x:c r="M33" s="14" t="d">
        <x:v>2026-10-09T08:38:32.690Z</x:v>
      </x:c>
    </x:row>
    <x:row r="34" ht="273" customHeight="1">
      <x:c r="A34" s="14" t="str">
        <x:v>M33</x:v>
      </x:c>
      <x:c r="B34" s="14" t="str">
        <x:v>R07,R08</x:v>
      </x:c>
      <x:c r="C34" s="14" t="str">
        <x:v>SQL/report agreement and persistence</x:v>
      </x:c>
      <x:c r="D34"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4" s="14" t="str">
        <x:v>1. GET /login/: 200 (expected 200)
2. Fill Login identifier = neha@demo.local
3. Fill Password = [password omitted]
4. Click Sign in
5. Browser sign-in as neha; Overview displayed
6. PATCH /api/tasks/389/ with JSON {"assignee_id":231}
7. GET /projects/132/report/: 200 (expected 200)
8. GET /login/: 200 (expected 200)
9. Fill Login identifier = neha@demo.local
10. Fill Password = [password omitted]
11. Click Sign in
12. Browser sign-in as neha; Overview displayed
13. GET /projects/132/report/: 200 (expected 200)</x:v>
      </x:c>
      <x:c r="F34" s="14" t="str">
        <x:v>Fill Login identifier = neha@demo.local
Fill Password = [password omitted]
PATCH /api/tasks/389/ {"assignee_id":231}
Fill Login identifier = neha@demo.local
Fill Password = [password omitted]</x:v>
      </x:c>
      <x:c r="G34" s="14" t="str">
        <x:v>Read-only SQL agrees with ORM reports, including historical contributors.</x:v>
      </x:c>
      <x:c r="H34" s="14" t="str">
        <x:v>Both SQL queries agree with all four project reports and historical contributors</x:v>
      </x:c>
      <x:c r="I34" s="14" t="str">
        <x:v>PASS</x:v>
      </x:c>
      <x:c r="J34" s="14" t="str">
        <x:v>High</x:v>
      </x:c>
      <x:c r="K34" s="14" t="str">
        <x:v>docs/evidence/qa40/M33-final.png
docs/evidence/qa40/M33.json</x:v>
      </x:c>
      <x:c r="L34" s="14" t="str">
        <x:v>Agent-executed Chromium browser/HTTP checks with PostgreSQL readback</x:v>
      </x:c>
      <x:c r="M34" s="14" t="d">
        <x:v>2026-10-09T08:38:35.711Z</x:v>
      </x:c>
    </x:row>
    <x:row r="35" ht="588" customHeight="1">
      <x:c r="A35" s="14" t="str">
        <x:v>M34</x:v>
      </x:c>
      <x:c r="B35" s="14" t="str">
        <x:v>R09</x:v>
      </x:c>
      <x:c r="C35" s="14" t="str">
        <x:v>REST workflow, partial updates and malformed input</x:v>
      </x:c>
      <x:c r="D35"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5" s="14" t="str">
        <x:v>1. GET /login/: 200 (expected 200)
2. GET /api/projects/ with JSON {}
3. GET /api/projects/: 403 (expected 403)
4. GET /login/: 200 (expected 200)
5. Fill Login identifier = neha@demo.local
6. Fill Password = [password omitted]
7. Click Sign in
8. Browser sign-in as neha; Overview displayed
9. POST /api/projects/ with JSON {"name":"HTTP review","start_date":"2026-10-09","end_date":"2026-10-09"}
10. PATCH /api/projects/140/ with JSON {"description":"Partial PATCH"}
11. PUT /api/projects/140/ with JSON {"name":"Partial PUT"}
12. POST /api/projects/140/memberships/ with JSON {"employee_id":237}
13. POST /api/tasks/ with JSON {"project_id":140,"title":"HTTP work","assignee_id":237}
14. GET /login/: 200 (expected 200)
15. Fill Login identifier = asha@demo.local
16. Fill Password = [password omitted]
17. Click Sign in
18. Browser sign-in as asha; Overview displayed
19. PATCH /api/tasks/413/ with JSON {"status":"IN_PROGRESS"}
20. POST /api/time-entries/ with JSON {"task_id":413,"work_date":"2026-10-09","minutes":45}
21. PATCH /api/tasks/413/ with JSON {"status":"COMPLETED"}
22. GET /login/: 200 (expected 200)
23. Fill Login identifier = neha@demo.local
24. Fill Password = [password omitted]
25. Click Sign in
26. Browser sign-in as neha; Overview displayed
27. POST /api/tasks/ with JSON {"project_id":140}
28. POST /api/projects/ with JSON {"name":"Missing dates"}</x:v>
      </x:c>
      <x:c r="F35" s="14" t="str">
        <x:v>GET /api/projects/ {}
Fill Login identifier = neha@demo.local
Fill Password = [password omitted]
POST /api/projects/ {"name":"HTTP review","start_date":"2026-10-09","end_date":"2026-10-09"}
PATCH /api/projects/140/ {"description":"Partial PATCH"}
PUT /api/projects/140/ {"name":"Partial PUT"}
POST /api/projects/140/memberships/ {"employee_id":237}
POST /api/tasks/ {"project_id":140,"title":"HTTP work","assignee_id":237}
Fill Login identifier = asha@demo.local
Fill Password = [password omitted]
PATCH /api/tasks/413/ {"status":"IN_PROGRESS"}
POST /api/time-entries/ {"task_id":413,"work_date":"2026-10-09","minutes":45}
PATCH /api/tasks/413/ {"status":"COMPLETED"}
Fill Login identifier = neha@demo.local
Fill Password = [password omitted]
POST /api/tasks/ {"project_id":140}
POST /api/projects/ {"name":"Missing dates"}</x:v>
      </x:c>
      <x:c r="G35" s="14" t="str">
        <x:v>Valid workflow succeeds; omitted fields retained; invalid JSON/fields rejected.</x:v>
      </x:c>
      <x:c r="H35" s="14" t="str">
        <x:v>Partial PUT/PATCH retain omitted fields
Malformed JSON returns 400</x:v>
      </x:c>
      <x:c r="I35" s="14" t="str">
        <x:v>PASS</x:v>
      </x:c>
      <x:c r="J35" s="14" t="str">
        <x:v>High</x:v>
      </x:c>
      <x:c r="K35" s="14" t="str">
        <x:v>docs/evidence/qa40/M34-final.png
docs/evidence/qa40/M34.json</x:v>
      </x:c>
      <x:c r="L35" s="14" t="str">
        <x:v>Agent-executed Chromium browser/HTTP checks with PostgreSQL readback</x:v>
      </x:c>
      <x:c r="M35" s="14" t="d">
        <x:v>2026-10-09T08:38:38.935Z</x:v>
      </x:c>
    </x:row>
    <x:row r="36" ht="525" customHeight="1">
      <x:c r="A36" s="14" t="str">
        <x:v>M35</x:v>
      </x:c>
      <x:c r="B36" s="14" t="str">
        <x:v>R09,R10</x:v>
      </x:c>
      <x:c r="C36" s="14" t="str">
        <x:v>Forged ownership and privileged fields</x:v>
      </x:c>
      <x:c r="D36"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6" s="14" t="str">
        <x:v>1. GET /login/: 200 (expected 200)
2. Fill Login identifier = neha@demo.local
3. Fill Password = [password omitted]
4. Click Sign in
5. Browser sign-in as neha; Overview displayed
6. PATCH /api/projects/141/ with JSON {"manager_id":247}
7. PATCH /api/tasks/414/ with JSON {"project_id":143}
8. PATCH /api/tasks/414/ with JSON {"id":999}
9. GET /login/: 200 (expected 200)
10. Fill Login identifier = asha@demo.local
11. Fill Password = [password omitted]
12. Click Sign in
13. Browser sign-in as asha; Overview displayed
14. PATCH /api/time-entries/247/ with JSON {"employee_id":245}
15. PATCH /api/time-entries/247/ with JSON {"task_id":416}
16. GET /login/: 200 (expected 200)
17. Fill Login identifier = admin@demo.local
18. Fill Password = [password omitted]
19. Click Sign in
20. Browser sign-in as admin; Overview displayed
21. PATCH /api/accounts/244/ with JSON {"is_staff":true}
22. PATCH /api/accounts/244/ with JSON {"is_superuser":true}
23. PATCH /api/accounts/244/ with JSON {"must_change_password":true}
24. PATCH /api/accounts/244/ with JSON {"groups":true}
25. PATCH /api/accounts/244/ with JSON {"user_permissions":true}</x:v>
      </x:c>
      <x:c r="F36" s="14" t="str">
        <x:v>Fill Login identifier = neha@demo.local
Fill Password = [password omitted]
PATCH /api/projects/141/ {"manager_id":247}
PATCH /api/tasks/414/ {"project_id":143}
PATCH /api/tasks/414/ {"id":999}
Fill Login identifier = asha@demo.local
Fill Password = [password omitted]
PATCH /api/time-entries/247/ {"employee_id":245}
PATCH /api/time-entries/247/ {"task_id":416}
Fill Login identifier = admin@demo.local
Fill Password = [password omitted]
PATCH /api/accounts/244/ {"is_staff":true}
PATCH /api/accounts/244/ {"is_superuser":true}
PATCH /api/accounts/244/ {"must_change_password":true}
PATCH /api/accounts/244/ {"groups":true}
PATCH /api/accounts/244/ {"user_permissions":true}</x:v>
      </x:c>
      <x:c r="G36" s="14" t="str">
        <x:v>Protected fields rejected without altering ownership or privileges.</x:v>
      </x:c>
      <x:c r="H36" s="14" t="str">
        <x:v>Ownership/contributor/privileges unchanged</x:v>
      </x:c>
      <x:c r="I36" s="14" t="str">
        <x:v>PASS</x:v>
      </x:c>
      <x:c r="J36" s="14" t="str">
        <x:v>High</x:v>
      </x:c>
      <x:c r="K36" s="14" t="str">
        <x:v>docs/evidence/qa40/M35-final.png
docs/evidence/qa40/M35.json</x:v>
      </x:c>
      <x:c r="L36" s="14" t="str">
        <x:v>Agent-executed Chromium browser/HTTP checks with PostgreSQL readback</x:v>
      </x:c>
      <x:c r="M36" s="14" t="d">
        <x:v>2026-10-09T08:38:42.528Z</x:v>
      </x:c>
    </x:row>
    <x:row r="37" ht="1197" customHeight="1">
      <x:c r="A37" s="14" t="str">
        <x:v>M36</x:v>
      </x:c>
      <x:c r="B37" s="14" t="str">
        <x:v>R09,R10</x:v>
      </x:c>
      <x:c r="C37" s="14" t="str">
        <x:v>List/filter/detail/report privacy and picker scope</x:v>
      </x:c>
      <x:c r="D37"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7" s="14" t="str">
        <x:v>1. GET /login/: 200 (expected 200)
2. Fill Login identifier = arjun@demo.local
3. Fill Password = [password omitted]
4. Click Sign in
5. Browser sign-in as arjun; Overview displayed
6. GET /api/projects/145/ with JSON {}
7. GET /api/projects/145/: 404 (expected 404)
8. GET /api/tasks/426/ with JSON {}
9. GET /api/tasks/426/: 404 (expected 404)
10. GET /api/projects/145/report/ with JSON {}
11. GET /api/projects/145/report/: 404 (expected 404)
12. GET /api/time-entries/254/ with JSON {}
13. GET /api/time-entries/254/: 404 (expected 404)
14. GET /api/tasks/?project=145 with JSON {}
15. GET /api/tasks/?project=145: 200 (expected 200)
16. GET /api/time-entries/?project=145 with JSON {}
17. GET /api/time-entries/?project=145: 200 (expected 200)
18. GET /api/projects/ with JSON {}
19. GET /api/projects/: 200 (expected 200)
20. GET /login/: 200 (expected 200)
21. Fill Login identifier = dev@demo.local
22. Fill Password = [password omitted]
23. Click Sign in
24. Browser sign-in as dev; Overview displayed
25. GET /api/projects/145/ with JSON {}
26. GET /api/projects/145/: 404 (expected 404)
27. GET /api/tasks/426/ with JSON {}
28. GET /api/tasks/426/: 404 (expected 404)
29. GET /api/projects/145/report/ with JSON {}
30. GET /api/projects/145/report/: 404 (expected 404)
31. GET /api/time-entries/254/ with JSON {}
32. GET /api/time-entries/254/: 404 (expected 404)
33. GET /api/tasks/?project=145 with JSON {}
34. GET /api/tasks/?project=145: 200 (expected 200)
35. GET /api/time-entries/?project=145 with JSON {}
36. GET /api/time-entries/?project=145: 200 (expected 200)
37. GET /api/projects/ with JSON {}
38. GET /api/projects/: 200 (expected 200)
39. GET /login/: 200 (expected 200)
40. Fill Login identifier = ravi@demo.local
41. Fill Password = [password omitted]
42. Click Sign in
43. Browser sign-in as ravi; Overview displayed
44. GET /api/time-entries/254/ with JSON {}
45. GET /api/time-entries/254/: 404 (expected 404)
46. GET /tasks/426/: 200 (expected 200)
47. GET /api/tasks/ with JSON {}
48. GET /api/tasks/: 200 (expected 200)
49. GET /api/projects/145/report/ with JSON {}
50. GET /api/projects/145/report/: 200 (expected 200)
51. GET /login/: 200 (expected 200)
52. Fill Login identifier = neha@demo.local
53. Fill Password = [password omitted]
54. Click Sign in
55. Browser sign-in as neha; Overview displayed
56. GET /api/projects/145/employee-options/ with JSON {}
57. GET /api/projects/145/employee-options/: 200 (expected 200)</x:v>
      </x:c>
      <x:c r="F37" s="14" t="str">
        <x:v>Fill Login identifier = arjun@demo.local
Fill Password = [password omitted]
GET /api/projects/145/ {}
GET /api/tasks/426/ {}
GET /api/projects/145/report/ {}
GET /api/time-entries/254/ {}
GET /api/tasks/?project=145 {}
GET /api/time-entries/?project=145 {}
GET /api/projects/ {}
Fill Login identifier = dev@demo.local
Fill Password = [password omitted]
GET /api/projects/145/ {}
GET /api/tasks/426/ {}
GET /api/projects/145/report/ {}
GET /api/time-entries/254/ {}
GET /api/tasks/?project=145 {}
GET /api/time-entries/?project=145 {}
GET /api/projects/ {}
Fill Login identifier = ravi@demo.local
Fill Password = [password omitted]
GET /api/time-entries/254/ {}
GET /api/tasks/ {}
GET /api/projects/145/report/ {}
Fill Login identifier = neha@demo.local
Fill Password = [password omitted]
GET /api/projects/145/employee-options/ {}</x:v>
      </x:c>
      <x:c r="G37" s="14" t="str">
        <x:v>Foreign records/notes excluded; picker exposes only id and name.</x:v>
      </x:c>
      <x:c r="H37" s="14" t="str">
        <x:v>Foreign filter contains zero records
Foreign filter contains zero records
Foreign project absent from list
Foreign filter contains zero records
Foreign filter contains zero records
Foreign project absent from list
Other Employee's detailed time note absent from HTML
No private notes/password/privilege fields in serialization
No private notes/password/privilege fields in serialization
Picker fields limited to id/name
Picker includes active Employees only</x:v>
      </x:c>
      <x:c r="I37" s="14" t="str">
        <x:v>PASS</x:v>
      </x:c>
      <x:c r="J37" s="14" t="str">
        <x:v>High</x:v>
      </x:c>
      <x:c r="K37" s="14" t="str">
        <x:v>docs/evidence/qa40/M36-final.png
docs/evidence/qa40/M36.json</x:v>
      </x:c>
      <x:c r="L37" s="14" t="str">
        <x:v>Agent-executed Chromium browser/HTTP checks with PostgreSQL readback</x:v>
      </x:c>
      <x:c r="M37" s="14" t="d">
        <x:v>2026-10-09T08:38:46.002Z</x:v>
      </x:c>
    </x:row>
    <x:row r="38" ht="357" customHeight="1">
      <x:c r="A38" s="14" t="str">
        <x:v>M37</x:v>
      </x:c>
      <x:c r="B38" s="14" t="str">
        <x:v>R09,R10</x:v>
      </x:c>
      <x:c r="C38" s="14" t="str">
        <x:v>CSRF and strict JSON minutes</x:v>
      </x:c>
      <x:c r="D38"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8" s="14" t="str">
        <x:v>1. GET /login/: 200 (expected 200)
2. GET /login/: 200 (expected 200)
3. Fill Login identifier = asha@demo.local
4. Fill Password = [password omitted]
5. Click Sign in
6. Browser sign-in as asha; Overview displayed
7. PATCH /api/tasks/438/ with JSON {"status":"IN_PROGRESS"}
8. PATCH /api/tasks/438/ with JSON {"status":"IN_PROGRESS"}
9. POST /api/time-entries/ with JSON {"task_id":438,"work_date":"2026-10-09","minutes":true}
10. POST /api/time-entries/ with JSON {"task_id":438,"work_date":"2026-10-09","minutes":false}
11. POST /api/time-entries/ with JSON {"task_id":438,"work_date":"2026-10-09","minutes":1.5}
12. POST /api/time-entries/ with JSON {"task_id":438,"work_date":"2026-10-09","minutes":1}
13. POST /api/time-entries/ with JSON {"task_id":438,"work_date":"2026-10-09","minutes":"60"}
14. POST /api/time-entries/ with JSON {"task_id":438,"work_date":"2026-10-09","minutes":null}
15. POST /api/time-entries/ with JSON {"task_id":438,"work_date":"2026-10-09","minutes":0}
16. POST /api/time-entries/ with JSON {"task_id":438,"work_date":"2026-10-09","minutes":1441}
17. POST /api/time-entries/ with JSON {"task_id":438,"work_date":"2026-10-09","minutes":60}</x:v>
      </x:c>
      <x:c r="F38" s="14" t="str">
        <x:v>Fill Login identifier = asha@demo.local
Fill Password = [password omitted]
PATCH /api/tasks/438/ {"status":"IN_PROGRESS"}
PATCH /api/tasks/438/ {"status":"IN_PROGRESS"}
POST /api/time-entries/ {"task_id":438,"work_date":"2026-10-09","minutes":true}
POST /api/time-entries/ {"task_id":438,"work_date":"2026-10-09","minutes":false}
POST /api/time-entries/ {"task_id":438,"work_date":"2026-10-09","minutes":1.5}
POST /api/time-entries/ {"task_id":438,"work_date":"2026-10-09","minutes":1}
POST /api/time-entries/ {"task_id":438,"work_date":"2026-10-09","minutes":"60"}
POST /api/time-entries/ {"task_id":438,"work_date":"2026-10-09","minutes":null}
POST /api/time-entries/ {"task_id":438,"work_date":"2026-10-09","minutes":0}
POST /api/time-entries/ {"task_id":438,"work_date":"2026-10-09","minutes":1441}
POST /api/time-entries/ {"task_id":438,"work_date":"2026-10-09","minutes":60}</x:v>
      </x:c>
      <x:c r="G38" s="14" t="str">
        <x:v>Missing/wrong CSRF rejected; valid CSRF accepted; invalid numeric types rejected.</x:v>
      </x:c>
      <x:c r="H38" s="14" t="str">
        <x:v>Login without CSRF returns 403
Wrong CSRF token returns 403</x:v>
      </x:c>
      <x:c r="I38" s="14" t="str">
        <x:v>PASS</x:v>
      </x:c>
      <x:c r="J38" s="14" t="str">
        <x:v>High</x:v>
      </x:c>
      <x:c r="K38" s="14" t="str">
        <x:v>docs/evidence/qa40/M37-final.png
docs/evidence/qa40/M37.json</x:v>
      </x:c>
      <x:c r="L38" s="14" t="str">
        <x:v>Agent-executed Chromium browser/HTTP checks with PostgreSQL readback</x:v>
      </x:c>
      <x:c r="M38" s="14" t="d">
        <x:v>2026-10-09T08:38:50.113Z</x:v>
      </x:c>
    </x:row>
    <x:row r="39" ht="546" customHeight="1">
      <x:c r="A39" s="14" t="str">
        <x:v>M38</x:v>
      </x:c>
      <x:c r="B39" s="14" t="str">
        <x:v>R10</x:v>
      </x:c>
      <x:c r="C39" s="14" t="str">
        <x:v>Stored XSS, search input and account permissions</x:v>
      </x:c>
      <x:c r="D39"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9" s="14" t="str">
        <x:v>1. GET /login/: 200 (expected 200)
2. Fill Login identifier = neha@demo.local
3. Fill Password = [password omitted]
4. Click Sign in
5. Browser sign-in as neha; Overview displayed
6. PATCH /api/tasks/450/ with JSON {"description":"&lt;script&gt;window.qa40xss=1&lt;/script&gt;&lt;img src=x onerror=\"window.qa40xss=2\"&gt;"}
7. GET /tasks/450/: 200 (expected 200)
8. GET /projects/?q=%27%20OR%201%3D1--: 200 (expected 200)
9. GET /login/: 200 (expected 200)
10. Fill Login identifier = neha@demo.local
11. Fill Password = [password omitted]
12. Click Sign in
13. Browser sign-in as neha; Overview displayed
14. GET /employees/: 403 (expected 403)
15. GET /api/accounts/ with JSON {}
16. GET /api/accounts/: 403 (expected 403)
17. POST /api/accounts/ with JSON {"username":"forbidden","password":"[chosen strong password]"}
18. GET /login/: 200 (expected 200)
19. Fill Login identifier = asha@demo.local
20. Fill Password = [password omitted]
21. Click Sign in
22. Browser sign-in as asha; Overview displayed
23. GET /employees/: 403 (expected 403)
24. GET /api/accounts/ with JSON {}
25. GET /api/accounts/: 403 (expected 403)
26. POST /api/accounts/ with JSON {"username":"forbidden","password":"[chosen strong password]"}</x:v>
      </x:c>
      <x:c r="F39" s="14" t="str">
        <x:v>Fill Login identifier = neha@demo.local
Fill Password = [password omitted]
PATCH /api/tasks/450/ {"description":"&lt;script&gt;window.qa40xss=1&lt;/script&gt;&lt;img src=x onerror=\"window.qa40xss=2\"&gt;"}
Fill Login identifier = neha@demo.local
Fill Password = [password omitted]
GET /api/accounts/ {}
POST /api/accounts/ {"username":"forbidden","password":"[chosen strong password]"}
Fill Login identifier = asha@demo.local
Fill Password = [password omitted]
GET /api/accounts/ {}
POST /api/accounts/ {"username":"forbidden","password":"[chosen strong password]"}</x:v>
      </x:c>
      <x:c r="G39" s="14" t="str">
        <x:v>Markup escaped; search treated literally; non-Admins cannot manage accounts.</x:v>
      </x:c>
      <x:c r="H39" s="14" t="str">
        <x:v>Stored markup does not execute JavaScript
Markup displayed as literal escaped text
SQL-like search is literal and does not broaden results</x:v>
      </x:c>
      <x:c r="I39" s="14" t="str">
        <x:v>PASS</x:v>
      </x:c>
      <x:c r="J39" s="14" t="str">
        <x:v>High</x:v>
      </x:c>
      <x:c r="K39" s="14" t="str">
        <x:v>docs/evidence/qa40/M38-final.png
docs/evidence/qa40/M38.json</x:v>
      </x:c>
      <x:c r="L39" s="14" t="str">
        <x:v>Agent-executed Chromium browser/HTTP checks with PostgreSQL readback</x:v>
      </x:c>
      <x:c r="M39" s="14" t="d">
        <x:v>2026-10-09T08:38:52.944Z</x:v>
      </x:c>
    </x:row>
    <x:row r="40" ht="1050" customHeight="1">
      <x:c r="A40" s="14" t="str">
        <x:v>M39</x:v>
      </x:c>
      <x:c r="B40" s="14" t="str">
        <x:v>R02,R04,R05,R10</x:v>
      </x:c>
      <x:c r="C40" s="14" t="str">
        <x:v>Overview visibility before and after Employee starts a task</x:v>
      </x:c>
      <x:c r="D40"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40" s="14" t="str">
        <x:v>1. GET /login/: 200 (expected 200)
2. Fill Login identifier = neha@demo.local
3. Fill Password = [password omitted]
4. Click Sign in
5. Browser sign-in as neha; Overview displayed
6. POST /api/projects/ with JSON {"name":"Overview workflow project","start_date":"2026-10-09","end_date":"2026-10-09"}
7. POST /api/projects/161/memberships/ with JSON {"employee_id":272}
8. POST /api/tasks/ with JSON {"project_id":161,"title":"Overview workflow task","assignee_id":272}
9. GET /login/: 200 (expected 200)
10. Fill Login identifier = neha@demo.local
11. Fill Password = [password omitted]
12. Click Sign in
13. Browser sign-in as neha; Overview displayed
14. GET /: 200 (expected 200)
15. GET /api/overview/ with JSON {}
16. GET /api/overview/: 200 (expected 200)
17. GET /login/: 200 (expected 200)
18. Fill Login identifier = admin@demo.local
19. Fill Password = [password omitted]
20. Click Sign in
21. Browser sign-in as admin; Overview displayed
22. GET /: 200 (expected 200)
23. GET /api/overview/ with JSON {}
24. GET /api/overview/: 200 (expected 200)
25. GET /login/: 200 (expected 200)
26. Fill Login identifier = asha@demo.local
27. Fill Password = [password omitted]
28. Click Sign in
29. Browser sign-in as asha; Overview displayed
30. GET /: 200 (expected 200)
31. GET /tasks/474/: 200 (expected 200)
32. Click Start task
33. GET /login/: 200 (expected 200)
34. Fill Login identifier = neha@demo.local
35. Fill Password = [password omitted]
36. Click Sign in
37. Browser sign-in as neha; Overview displayed
38. GET /: 200 (expected 200)
39. GET /login/: 200 (expected 200)
40. Fill Login identifier = admin@demo.local
41. Fill Password = [password omitted]
42. Click Sign in
43. Browser sign-in as admin; Overview displayed
44. GET /: 200 (expected 200)
45. GET /login/: 200 (expected 200)
46. Fill Login identifier = arjun@demo.local
47. Fill Password = [password omitted]
48. Click Sign in
49. Browser sign-in as arjun; Overview displayed
50. GET /: 200 (expected 200)</x:v>
      </x:c>
      <x:c r="F40" s="14" t="str">
        <x:v>Fill Login identifier = neha@demo.local
Fill Password = [password omitted]
POST /api/projects/ {"name":"Overview workflow project","start_date":"2026-10-09","end_date":"2026-10-09"}
POST /api/projects/161/memberships/ {"employee_id":272}
POST /api/tasks/ {"project_id":161,"title":"Overview workflow task","assignee_id":272}
Fill Login identifier = neha@demo.local
Fill Password = [password omitted]
GET /api/overview/ {}
Fill Login identifier = admin@demo.local
Fill Password = [password omitted]
GET /api/overview/ {}
Fill Login identifier = asha@demo.local
Fill Password = [password omitted]
Fill Login identifier = neha@demo.local
Fill Password = [password omitted]
Fill Login identifier = admin@demo.local
Fill Password = [password omitted]
Fill Login identifier = arjun@demo.local
Fill Password = [password omitted]</x:v>
      </x:c>
      <x:c r="G40" s="14" t="str">
        <x:v>Admin/Manager totals include the project; TODO task appears in Work in progress only after Start task; Employee sees own TODO work; foreign Manager excluded.</x:v>
      </x:c>
      <x:c r="H40" s="14" t="str">
        <x:v>neha: TODO task excluded from Work in progress
neha: new project included in summary
admin: TODO task excluded from Work in progress
admin: new project included in summary
Employee Overview includes own TODO task
Employee Start task button persists IN_PROGRESS
neha: started task and project visible in Work in progress
admin: started task and project visible in Work in progress
Foreign Manager cannot see the task</x:v>
      </x:c>
      <x:c r="I40" s="14" t="str">
        <x:v>PASS</x:v>
      </x:c>
      <x:c r="J40" s="14" t="str">
        <x:v>Medium</x:v>
      </x:c>
      <x:c r="K40" s="14" t="str">
        <x:v>docs/evidence/qa40/M39-neha-before-start.png
docs/evidence/qa40/M39-admin-before-start.png
docs/evidence/qa40/M39-neha-after-start.png
docs/evidence/qa40/M39-admin-after-start.png
docs/evidence/qa40/M39-final.png
docs/evidence/qa40/M39.json</x:v>
      </x:c>
      <x:c r="L40" s="14" t="str">
        <x:v>Agent-executed Chromium browser/HTTP checks with PostgreSQL readback</x:v>
      </x:c>
      <x:c r="M40" s="14" t="d">
        <x:v>2026-10-09T08:38:56.455Z</x:v>
      </x:c>
    </x:row>
    <x:row r="41" ht="210" customHeight="1">
      <x:c r="A41" s="14" t="str">
        <x:v>M40</x:v>
      </x:c>
      <x:c r="B41" s="14" t="str">
        <x:v>R02,R04,R07</x:v>
      </x:c>
      <x:c r="C41" s="14" t="str">
        <x:v>Protect history and allow safe deletion</x:v>
      </x:c>
      <x:c r="D41"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41" s="14" t="str">
        <x:v>1. GET /login/: 200 (expected 200)
2. Fill Login identifier = neha@demo.local
3. Fill Password = [password omitted]
4. Click Sign in
5. Browser sign-in as neha; Overview displayed
6. DELETE /api/projects/162/ with JSON {}
7. DELETE /api/tasks/475/ with JSON {}
8. DELETE /api/tasks/479/ with JSON {}
9. DELETE /api/projects/164/ with JSON {}
10. DELETE /api/tasks/477/ with JSON {}</x:v>
      </x:c>
      <x:c r="F41" s="14" t="str">
        <x:v>Fill Login identifier = neha@demo.local
Fill Password = [password omitted]
DELETE /api/projects/162/ {}
DELETE /api/tasks/475/ {}
DELETE /api/tasks/479/ {}
DELETE /api/projects/164/ {}
DELETE /api/tasks/477/ {}</x:v>
      </x:c>
      <x:c r="G41" s="14" t="str">
        <x:v>Dependent work protected; empty projects and tasks without history removable.</x:v>
      </x:c>
      <x:c r="H41" s="14" t="str">
        <x:v>Dependent project/task/time history preserved
Safe empty project and task deleted</x:v>
      </x:c>
      <x:c r="I41" s="14" t="str">
        <x:v>PASS</x:v>
      </x:c>
      <x:c r="J41" s="14" t="str">
        <x:v>High</x:v>
      </x:c>
      <x:c r="K41" s="14" t="str">
        <x:v>docs/evidence/qa40/M40-final.png
docs/evidence/qa40/M40.json</x:v>
      </x:c>
      <x:c r="L41" s="14" t="str">
        <x:v>Agent-executed Chromium browser/HTTP checks with PostgreSQL readback</x:v>
      </x:c>
      <x:c r="M41" s="14" t="d">
        <x:v>2026-10-09T08:39:01.829Z</x:v>
      </x:c>
    </x:row>
  </x:sheetData>
  <x:pageMargins left="0.7" right="0.7" top="0.75" bottom="0.75" header="0.3" footer="0.3"/>
  <x:tableParts count="1">
    <x:tablePart xmlns:r="http://schemas.openxmlformats.org/officeDocument/2006/relationships" r:id="R1d3e649d99c5487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8.889999389648438" hidden="0" customWidth="1"/>
    <x:col min="4" max="4" width="18.889999389648438" hidden="0" customWidth="1"/>
    <x:col min="5" max="5" width="18.889999389648438" hidden="0" customWidth="1"/>
    <x:col min="6" max="6" width="18.889999389648438" hidden="0" customWidth="1"/>
  </x:cols>
  <x:sheetData>
    <x:row r="2">
      <x:c r="A2" s="17" t="str">
        <x:v>SQL and application report agreement</x:v>
      </x:c>
      <x:c r="B2" s="12"/>
      <x:c r="C2" s="12"/>
      <x:c r="D2" s="12"/>
      <x:c r="E2" s="12"/>
      <x:c r="F2" s="12"/>
    </x:row>
    <x:row r="3">
      <x:c r="A3" s="18" t="str">
        <x:v>Source: M33.json. Read-only sql/project_reports.sql compared with scoped ORM reports.</x:v>
      </x:c>
      <x:c r="B3" s="12"/>
      <x:c r="C3" s="12"/>
      <x:c r="D3" s="12"/>
      <x:c r="E3" s="12"/>
      <x:c r="F3" s="12"/>
    </x:row>
    <x:row r="4">
      <x:c r="A4" s="12"/>
      <x:c r="B4" s="12"/>
      <x:c r="C4" s="12"/>
      <x:c r="D4" s="12"/>
      <x:c r="E4" s="12"/>
      <x:c r="F4" s="12"/>
    </x:row>
    <x:row r="5">
      <x:c r="A5" s="12" t="str">
        <x:v>Result: MATCH. Compared 4 projects and 4 contributors.</x:v>
      </x:c>
      <x:c r="B5" s="12"/>
      <x:c r="C5" s="12"/>
      <x:c r="D5" s="12"/>
      <x:c r="E5" s="12"/>
      <x:c r="F5" s="12"/>
    </x:row>
    <x:row r="6">
      <x:c r="A6" s="12"/>
      <x:c r="B6" s="12"/>
      <x:c r="C6" s="12"/>
      <x:c r="D6" s="12"/>
      <x:c r="E6" s="12"/>
      <x:c r="F6" s="12"/>
    </x:row>
    <x:row r="7" ht="28" customHeight="1">
      <x:c r="A7" s="7" t="str">
        <x:v>Project ID</x:v>
      </x:c>
      <x:c r="B7" s="7" t="str">
        <x:v>Total tasks</x:v>
      </x:c>
      <x:c r="C7" s="7" t="str">
        <x:v>Completed</x:v>
      </x:c>
      <x:c r="D7" s="7" t="str">
        <x:v>Recorded minutes</x:v>
      </x:c>
      <x:c r="E7" s="7" t="str">
        <x:v>Recorded hours</x:v>
      </x:c>
      <x:c r="F7" s="12"/>
    </x:row>
    <x:row r="8">
      <x:c r="A8" s="21" t="n">
        <x:v>132</x:v>
      </x:c>
      <x:c r="B8" s="21" t="n">
        <x:v>6</x:v>
      </x:c>
      <x:c r="C8" s="21" t="n">
        <x:v>2</x:v>
      </x:c>
      <x:c r="D8" s="21" t="n">
        <x:v>720</x:v>
      </x:c>
      <x:c r="E8" s="22" t="n">
        <x:v>12</x:v>
      </x:c>
      <x:c r="F8" s="12"/>
    </x:row>
    <x:row r="9">
      <x:c r="A9" s="21" t="n">
        <x:v>133</x:v>
      </x:c>
      <x:c r="B9" s="21" t="n">
        <x:v>5</x:v>
      </x:c>
      <x:c r="C9" s="21" t="n">
        <x:v>2</x:v>
      </x:c>
      <x:c r="D9" s="21" t="n">
        <x:v>720</x:v>
      </x:c>
      <x:c r="E9" s="22" t="n">
        <x:v>12</x:v>
      </x:c>
      <x:c r="F9" s="12"/>
    </x:row>
    <x:row r="10">
      <x:c r="A10" s="21" t="n">
        <x:v>134</x:v>
      </x:c>
      <x:c r="B10" s="21" t="n">
        <x:v>0</x:v>
      </x:c>
      <x:c r="C10" s="21" t="n">
        <x:v>0</x:v>
      </x:c>
      <x:c r="D10" s="21" t="n">
        <x:v>0</x:v>
      </x:c>
      <x:c r="E10" s="22" t="n">
        <x:v>0</x:v>
      </x:c>
      <x:c r="F10" s="12"/>
    </x:row>
    <x:row r="11">
      <x:c r="A11" s="21" t="n">
        <x:v>135</x:v>
      </x:c>
      <x:c r="B11" s="21" t="n">
        <x:v>1</x:v>
      </x:c>
      <x:c r="C11" s="21" t="n">
        <x:v>0</x:v>
      </x:c>
      <x:c r="D11" s="21" t="n">
        <x:v>0</x:v>
      </x:c>
      <x:c r="E11" s="22" t="n">
        <x:v>0</x:v>
      </x:c>
      <x:c r="F11" s="12"/>
    </x:row>
    <x:row r="12">
      <x:c r="A12" s="12"/>
      <x:c r="B12" s="12"/>
      <x:c r="C12" s="12"/>
      <x:c r="D12" s="12"/>
      <x:c r="E12" s="12"/>
      <x:c r="F12" s="12"/>
    </x:row>
    <x:row r="13">
      <x:c r="A13" s="12" t="str">
        <x:v>M30 independently exercised 3 tasks, 2 completed, 180 minutes and 66.67% completion.</x:v>
      </x:c>
      <x:c r="B13" s="12"/>
      <x:c r="C13" s="12"/>
      <x:c r="D13" s="12"/>
      <x:c r="E13" s="12"/>
      <x:c r="F13" s="12"/>
    </x:row>
    <x:row r="14">
      <x:c r="A14" s="12"/>
      <x:c r="B14" s="12"/>
      <x:c r="C14" s="12"/>
      <x:c r="D14" s="12"/>
      <x:c r="E14" s="12"/>
      <x:c r="F14" s="12"/>
    </x:row>
    <x:row r="15">
      <x:c r="A15" s="12" t="str">
        <x:v>Original contributor totals from SQL</x:v>
      </x:c>
      <x:c r="B15" s="12"/>
      <x:c r="C15" s="12"/>
      <x:c r="D15" s="12"/>
    </x:row>
    <x:row r="16" ht="28" customHeight="1">
      <x:c r="A16" s="7" t="str">
        <x:v>Project ID</x:v>
      </x:c>
      <x:c r="B16" s="7" t="str">
        <x:v>Employee ID</x:v>
      </x:c>
      <x:c r="C16" s="7" t="str">
        <x:v>Recorded minutes</x:v>
      </x:c>
      <x:c r="D16" s="7" t="str">
        <x:v>Recorded hours</x:v>
      </x:c>
    </x:row>
    <x:row r="17">
      <x:c r="A17" s="20" t="n">
        <x:v>132</x:v>
      </x:c>
      <x:c r="B17" s="20" t="n">
        <x:v>230</x:v>
      </x:c>
      <x:c r="C17" s="20" t="n">
        <x:v>420</x:v>
      </x:c>
      <x:c r="D17" s="22" t="n">
        <x:v>7</x:v>
      </x:c>
    </x:row>
    <x:row r="18">
      <x:c r="A18" s="20" t="n">
        <x:v>132</x:v>
      </x:c>
      <x:c r="B18" s="20" t="n">
        <x:v>231</x:v>
      </x:c>
      <x:c r="C18" s="20" t="n">
        <x:v>300</x:v>
      </x:c>
      <x:c r="D18" s="22" t="n">
        <x:v>5</x:v>
      </x:c>
    </x:row>
    <x:row r="19">
      <x:c r="A19" s="20" t="n">
        <x:v>133</x:v>
      </x:c>
      <x:c r="B19" s="20" t="n">
        <x:v>230</x:v>
      </x:c>
      <x:c r="C19" s="20" t="n">
        <x:v>360</x:v>
      </x:c>
      <x:c r="D19" s="22" t="n">
        <x:v>6</x:v>
      </x:c>
    </x:row>
    <x:row r="20">
      <x:c r="A20" s="20" t="n">
        <x:v>133</x:v>
      </x:c>
      <x:c r="B20" s="20" t="n">
        <x:v>231</x:v>
      </x:c>
      <x:c r="C20" s="20" t="n">
        <x:v>360</x:v>
      </x:c>
      <x:c r="D20" s="22" t="n">
        <x:v>6</x:v>
      </x:c>
    </x:row>
  </x:sheetData>
  <x:pageMargins left="0.7" right="0.7" top="0.75" bottom="0.75" header="0.3" footer="0.3"/>
</x:worksheet>
</file>